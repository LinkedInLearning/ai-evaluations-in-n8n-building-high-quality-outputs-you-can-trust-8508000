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pivotTables/pivotTable2.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1.xml" ContentType="application/vnd.ms-office.chartstyle+xml"/>
  <Override PartName="/xl/charts/colors1.xml" ContentType="application/vnd.ms-office.chartcolorstyle+xml"/>
  <Override PartName="/xl/charts/chart5.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tobiaszwingmann/Repos/lil-n8n-eval/dashboard/"/>
    </mc:Choice>
  </mc:AlternateContent>
  <xr:revisionPtr revIDLastSave="0" documentId="13_ncr:1_{9D27B686-D86E-6440-A29F-3A40C9AABDA3}" xr6:coauthVersionLast="47" xr6:coauthVersionMax="47" xr10:uidLastSave="{00000000-0000-0000-0000-000000000000}"/>
  <bookViews>
    <workbookView xWindow="0" yWindow="680" windowWidth="34200" windowHeight="19720" activeTab="2" xr2:uid="{00000000-000D-0000-FFFF-FFFF00000000}"/>
  </bookViews>
  <sheets>
    <sheet name="Sheet" sheetId="1" r:id="rId1"/>
    <sheet name="Run Dashboard" sheetId="2" r:id="rId2"/>
    <sheet name="Runs Over Time" sheetId="3" r:id="rId3"/>
  </sheets>
  <calcPr calcId="191029"/>
  <pivotCaches>
    <pivotCache cacheId="50"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5" i="3" l="1"/>
  <c r="G25" i="3"/>
  <c r="H25" i="3"/>
  <c r="I25" i="3"/>
  <c r="J25" i="3"/>
  <c r="K25" i="3"/>
  <c r="F24" i="3"/>
  <c r="G24" i="3"/>
  <c r="H24" i="3"/>
  <c r="I24" i="3"/>
  <c r="J24" i="3"/>
  <c r="K24" i="3"/>
  <c r="I22" i="2"/>
  <c r="H22" i="2"/>
  <c r="H32" i="2" s="1"/>
  <c r="F23" i="3"/>
  <c r="G23" i="3"/>
  <c r="H23" i="3"/>
  <c r="I23" i="3"/>
  <c r="J23" i="3"/>
  <c r="K23" i="3"/>
  <c r="I19" i="3"/>
  <c r="J19" i="3"/>
  <c r="K19" i="3"/>
  <c r="I20" i="3"/>
  <c r="J20" i="3"/>
  <c r="K20" i="3"/>
  <c r="I21" i="3"/>
  <c r="J21" i="3"/>
  <c r="K21" i="3"/>
  <c r="I22" i="3"/>
  <c r="J22" i="3"/>
  <c r="K22" i="3"/>
  <c r="H20" i="3"/>
  <c r="H21" i="3"/>
  <c r="H22" i="3"/>
  <c r="H19" i="3"/>
  <c r="G20" i="3"/>
  <c r="G21" i="3"/>
  <c r="G22" i="3"/>
  <c r="G19" i="3"/>
  <c r="F20" i="3"/>
  <c r="F21" i="3"/>
  <c r="F22" i="3"/>
  <c r="F19" i="3"/>
  <c r="H25" i="2" a="1"/>
  <c r="H25" i="2" s="1"/>
  <c r="H31" i="2" s="1"/>
  <c r="H24" i="2" a="1"/>
  <c r="H24" i="2" s="1"/>
  <c r="H23" i="2" a="1"/>
  <c r="H23" i="2" s="1"/>
  <c r="H29" i="2" s="1"/>
  <c r="H21" i="2"/>
  <c r="H38" i="2"/>
  <c r="I19" i="2"/>
  <c r="I18" i="2"/>
  <c r="H20" i="2"/>
  <c r="H43" i="2" s="1"/>
  <c r="H19" i="2"/>
  <c r="H18" i="2"/>
  <c r="H40" i="2"/>
  <c r="H39" i="2"/>
  <c r="H37" i="2"/>
  <c r="H36" i="2"/>
  <c r="H35" i="2"/>
  <c r="I25" i="2"/>
  <c r="I24" i="2"/>
  <c r="I23" i="2"/>
  <c r="I21" i="2"/>
  <c r="I20" i="2"/>
  <c r="H44" i="2" s="1"/>
  <c r="J21" i="2" l="1"/>
  <c r="J19" i="2"/>
  <c r="J20" i="2"/>
  <c r="J24" i="2"/>
  <c r="J22" i="2"/>
  <c r="J25" i="2"/>
  <c r="J23" i="2"/>
  <c r="H30"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<sst xmlns="http://schemas.openxmlformats.org/spreadsheetml/2006/main" count="1028" uniqueCount="425">
  <si>
    <t>question</t>
  </si>
  <si>
    <t>expected_sources</t>
  </si>
  <si>
    <t>expected_source_count</t>
  </si>
  <si>
    <t>expected_answer</t>
  </si>
  <si>
    <t>eval_observed_output</t>
  </si>
  <si>
    <t>eval_source_count</t>
  </si>
  <si>
    <t>eval_source_names</t>
  </si>
  <si>
    <t>eval_simple_correctness</t>
  </si>
  <si>
    <t>eval_adv_correctness_score</t>
  </si>
  <si>
    <t>eval_adv_correctness_erroneous</t>
  </si>
  <si>
    <t>eval_adv_correctness_missing</t>
  </si>
  <si>
    <t>eval_adv_correctness_unnecessary</t>
  </si>
  <si>
    <t>eval_adv_correctness_reasoning</t>
  </si>
  <si>
    <t>eval_execution_details</t>
  </si>
  <si>
    <t>id</t>
  </si>
  <si>
    <t>createdAt</t>
  </si>
  <si>
    <t>updatedAt</t>
  </si>
  <si>
    <t>Comment</t>
  </si>
  <si>
    <t>What login security is required for remote access and important applications?</t>
  </si>
  <si>
    <t>Document 9: IT Usage and Security Policies</t>
  </si>
  <si>
    <t>Multi-Factor Authentication (MFA)</t>
  </si>
  <si>
    <t>Remote access and important applications require Multi-Factor Authentication.
This means a second login step is required, such as:
- Authenticator app code
- Text message code
Strong passwords are also required for accounts.^1
Sources:  
- ^1 [Document 9_ IT Usage and Security Policies.txt](https://api.github.com/repos/tobiaszwingmann/lil-n8n-eval/contents/documents/Document%209_%20IT%20Usage%20and%20Security%20Policies.txt?ref=main)</t>
  </si>
  <si>
    <t>The answer discusses MFA with extra implementation details, but it omits the ground truth’s minimal phrase “Multi-Factor Authentication (MFA)”.</t>
  </si>
  <si>
    <t>{"id":"14265","finished":false,"mode":"manual","retryOf":null,"retrySuccessId":null,"status":"running","createdAt":"2026-06-27T18:14:09.413Z","startedAt":"2026-06-27T18:14:09.450Z","stoppedAt":null,"deletedAt":null,"workflowId":"N20Npzd6xHWX7JZe","waitTill":null,"storedAt":"fs","tracingContext":null,"deduplicationKey":null,"jsonSizeBytes":26687,"workflowVersionId":"8d9eab21-76c6-412b-8b8d-17227f4edc29"}</t>
  </si>
  <si>
    <t>2026-06-26T20:35:53.881Z</t>
  </si>
  <si>
    <t>2026-06-27T18:14:18.152Z</t>
  </si>
  <si>
    <t>GPT 5.5 Low</t>
  </si>
  <si>
    <t>What technique should you use to operate a fire extinguisher?</t>
  </si>
  <si>
    <t>Document 10: Workplace Safety and Emergency Procedures</t>
  </si>
  <si>
    <t>The PASS method: Pull the pin, Aim at the base, Squeeze the trigger, Sweep side to side</t>
  </si>
  <si>
    <t>Use the PASS method:
- Pull the pin.
- Aim at the base.
- Squeeze the trigger.
- Sweep side to side.
Only use it if trained.  
Only fight very small fires.^1
Sources:  
- ^1 [Document 10_ Workplace Safety and Emergency Procedures.txt](https://api.github.com/repos/tobiaszwingmann/lil-n8n-eval/contents/documents/Document%2010_%20Workplace%20Safety%20and%20Emergency%20Procedures.txt?ref=main)</t>
  </si>
  <si>
    <t>The answer includes the correct PASS method steps, but adds extra statements not present in the ground truth.</t>
  </si>
  <si>
    <t>2026-06-27T18:14:27.179Z</t>
  </si>
  <si>
    <t>Where is the primary emergency assembly point during an evacuation?</t>
  </si>
  <si>
    <t>The parking lot across the street</t>
  </si>
  <si>
    <t>The primary assembly point is the parking lot across the street. It may also be a designated spot on the evacuation map.^1
Sources:  
- ^1 [Document 10_ Workplace Safety and Emergency Procedures.txt](https://api.github.com/repos/tobiaszwingmann/lil-n8n-eval/contents/documents/Document%2010_%20Workplace%20Safety%20and%20Emergency%20Procedures.txt?ref=main)</t>
  </si>
  <si>
    <t>The answer correctly states the parking lot across the street but adds an extra, not-in-ground-truth detail about a designated spot on the evacuation map.</t>
  </si>
  <si>
    <t>2026-06-27T18:14:36.001Z</t>
  </si>
  <si>
    <t>How often are employees paid?</t>
  </si>
  <si>
    <t>Document 5: Compensation, Payroll, and Promotions</t>
  </si>
  <si>
    <t>Every two weeks (bi-weekly), typically every other Friday</t>
  </si>
  <si>
    <t>Employees are paid bi-weekly.
This means every two weeks, typically every other Friday.^1
Sources:  
- ^1 [Document 5_ Compensation, Payroll, and Promotions.txt](https://api.github.com/repos/tobiaszwingmann/lil-n8n-eval/contents/documents/Document%205_%20Compensation,%20Payroll,%20and%20Promotions.txt?ref=main)</t>
  </si>
  <si>
    <t>The answer matches the ground truth statement about bi-weekly pay and typically every other Friday without adding extra content.</t>
  </si>
  <si>
    <t>2026-06-27T18:14:43.983Z</t>
  </si>
  <si>
    <t>Explain the process for requesting parental leave.</t>
  </si>
  <si>
    <t>Document 7: Leave and Time Off Policies</t>
  </si>
  <si>
    <t>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t>
  </si>
  <si>
    <t>To request parental leave:
- Inform HR as early as possible.
- Give at least 30 days’ notice, if feasible.
- Coordinate paperwork with HR.
- Plan your absence with your manager.
- Use HR forms if FMLA applies.
Parental leave may be continuous after birth, adoption, or foster placement. It may also be flexible within the first year, with manager approval.^1
Sources:  
- ^1 [Document 7_ Leave and Time Off Policies.txt](https://api.github.com/repos/tobiaszwingmann/lil-n8n-eval/contents/documents/Document%207_%20Leave%20and%20Time%20Off%20Policies.txt?ref=main)</t>
  </si>
  <si>
    <t>The answer omits the caregiver eligibility details (primary vs secondary), paid/unpaid split, and the unpaid/vacation coverage information from the ground truth.</t>
  </si>
  <si>
    <t>2026-06-27T18:14:53.205Z</t>
  </si>
  <si>
    <t>Walk me through the steps of the annual performance review.</t>
  </si>
  <si>
    <t>Document 8: Performance Reviews and Career Development</t>
  </si>
  <si>
    <t>Goals are set at the start of the year. The annual review (year-end, with a mid-year check-in) includes a self-assessment, a manager evaluation against goals, optional 360-degree feedback, a one-on-one review meeting, and a rating/outcome that can influence merit increases or bonuses.</t>
  </si>
  <si>
    <t>The annual performance review includes these steps:
1. **Set goals early.**  
   You and your manager set SMART goals.^1
2. **Complete self-assessment.**  
   Reflect on achievements and growth areas.^1
3. **Manager evaluation happens.**  
   Your manager reviews goals and expectations.^1
4. **360 feedback may occur.**  
   Peers may provide feedback, if applicable.^1
5. **Attend review meeting.**  
   Discuss feedback, accomplishments, and aspirations.^1
6. **Receive rating and outcome.**  
   Ratings may affect merit pay or bonuses.^1
7. **Plan future development.**  
   Discuss skills, responsibilities, and career goals.^1
Sources:  
- ^1 [Document 8_ Performance Reviews and Career Development.txt](https://api.github.com/repos/tobiaszwingmann/lil-n8n-eval/contents/documents/Document%208_%20Performance%20Reviews%20and%20Career%20Development.txt?ref=main)</t>
  </si>
  <si>
    <t>The answer matches most elements but omits the ground-truth timing details (start-of-year goal setting and mid-year check-in) and adds extra scope like SMART goals and an emphasis on peers being applicable without explicitly stating 360-degree feedback as optional in the same terms.</t>
  </si>
  <si>
    <t>2026-06-27T18:15:04.406Z</t>
  </si>
  <si>
    <t>Summarize who is eligible to work remotely and what is expected of them.</t>
  </si>
  <si>
    <t>Document 3: General Employment Policies</t>
  </si>
  <si>
    <t>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t>
  </si>
  <si>
    <t>Remote work eligibility depends on role and team needs. Many roles may work remotely part-time or full-time. Eligible employees should confirm details with their manager, including office and home days.^1
Remote employees are expected to:
- Have a proper workspace.
- Maintain reliable internet.
- Stay available online.
- Attend required meetings.
- Meet productivity expectations.
- Follow department hybrid guidelines.
- Use company equipment responsibly.
- Follow IT security requirements.^1 ^2
Remote setup support may include a stipend or company equipment. Special equipment needs should be discussed with IT or HR.^1 ^2
Sources:  
- ^1 [Document 3_ General Employment Policies.txt](https://api.github.com/repos/tobiaszwingmann/lil-n8n-eval/contents/documents/Document%203_%20General%20Employment%20Policies.txt?ref=main)  
- ^2 [Document 9_ IT Usage and Security Policies.txt](https://api.github.com/repos/tobiaszwingmann/lil-n8n-eval/contents/documents/Document%209_%20IT%20Usage%20and%20Security%20Policies.txt?ref=main)</t>
  </si>
  <si>
    <t>The answer is accurate and complete relative to the ground truth but adds extra policy details not present in the reference.</t>
  </si>
  <si>
    <t>2026-06-27T18:15:18.324Z</t>
  </si>
  <si>
    <t>What should a new hire expect on their first day?</t>
  </si>
  <si>
    <t>Document 2: Onboarding Process and New Hire Orientation</t>
  </si>
  <si>
    <t>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t>
  </si>
  <si>
    <t>A new hire should expect this on day one:
- Arrive at the front desk by 9:00 AM.
- Meet HR for orientation.
- Complete remaining new hire paperwork.
- Receive an ID badge.
- Take an office or virtual tour.
- Get equipment and system access.
- Review key company policies.
- Learn about benefits enrollment.
- Ask initial questions.
- Meet a buddy or mentor.
- Likely have a welcome lunch.^1
Sources:  
- ^1 [Document 2_ Onboarding Process and New Hire Orientation.txt](https://api.github.com/repos/tobiaszwingmann/lil-n8n-eval/contents/documents/Document%202_%20Onboarding%20Process%20and%20New%20Hire%20Orientation.txt?ref=main)</t>
  </si>
  <si>
    <t>The answer lists the same day-one onboarding items as the ground truth with no added or omitted key facts.</t>
  </si>
  <si>
    <t>2026-06-27T18:15:28.698Z</t>
  </si>
  <si>
    <t>For a birth mother, how does paid parental leave coordinate with short-term disability?</t>
  </si>
  <si>
    <t>Document 6: Employee Benefits and Perks | Document 7: Leave and Time Off Policies</t>
  </si>
  <si>
    <t>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t>
  </si>
  <si>
    <t>For a birth mother, parental leave is separate from short-term disability.
- Parental leave allows up to 12 weeks.
- 6 weeks are fully paid.
- Remaining 6 weeks are unpaid.
- Accrued vacation may be used.
- STD typically covers 6–8 recovery weeks.
- STD runs concurrently with parental leave.^1
Short-term disability pays part of salary when unable to work due to illness or injury. It generally lasts up to 13 weeks.^2
Sources:  
- ^1 [Document 7_ Leave and Time Off Policies.txt](https://api.github.com/repos/tobiaszwingmann/lil-n8n-eval/contents/documents/Document%207_%20Leave%20and%20Time%20Off%20Policies.txt?ref=main)  
- ^2 [Document 6_ Employee Benefits and Perks.txt](https://api.github.com/repos/tobiaszwingmann/lil-n8n-eval/contents/documents/Document%206_%20Employee%20Benefits%20and%20Perks.txt?ref=main)</t>
  </si>
  <si>
    <t>The answer matches the reference on leave length, pay, STD recovery window, concurrency, and duration, but omits that STD is company-paid/replaces salary portion and guidance to coordinate with HR while adding extra claim that STD “runs concurrently with parental leave” is covered but the HR coordination is missing and some details like “accrued vacation may be used” and “separate” are beyond the reference scope.</t>
  </si>
  <si>
    <t>2026-06-27T18:15:41.421Z</t>
  </si>
  <si>
    <t>If I am out sick longer than my paid sick days, what covers my income?</t>
  </si>
  <si>
    <t>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t>
  </si>
  <si>
    <t>If paid sick leave runs out, income may be covered by disability insurance.
Short-Term Disability pays part of your salary. It applies if illness or injury prevents work. It generally lasts up to 13 weeks. Long-Term Disability may continue income after that period. Basic disability coverage is company-paid.^1
You may also request unpaid leave if paid leave is exhausted. During unpaid leave, benefits may be affected.^2
Sources:  
- ^1 [Document 6_ Employee Benefits and Perks.txt](https://api.github.com/repos/tobiaszwingmann/lil-n8n-eval/contents/documents/Document%206_%20Employee%20Benefits%20and%20Perks.txt?ref=main)  
- ^2 [Document 7_ Leave and Time Off Policies.txt](https://api.github.com/repos/tobiaszwingmann/lil-n8n-eval/contents/documents/Document%207_%20Leave%20and%20Time%20Off%20Policies.txt?ref=main)</t>
  </si>
  <si>
    <t>The answer mentions disability coverage but omits the ground-truth specifics about 10 paid sick days per year and unnecessarily adds details about unpaid leave and benefit effects not in the reference.</t>
  </si>
  <si>
    <t>2026-06-27T18:15:53.519Z</t>
  </si>
  <si>
    <t>How do the remote-work policy and IT equipment support work together for a home office?</t>
  </si>
  <si>
    <t>Document 3: General Employment Policies | Document 9: IT Usage and Security Policies</t>
  </si>
  <si>
    <t>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t>
  </si>
  <si>
    <t>Available policy files included Documents 1–10.  
Most relevant were Documents 3, 6, and 9.
Remote work requires:  
- Eligible role approval.  
- Manager-agreed schedule.  
- Proper home workspace.  
- Reliable internet.  
- Full engagement during work hours. ^1
IT support complements this by providing needed equipment.  
This may include laptops, monitors, phones, or peripherals.  
Remote employees with special needs should contact IT/HR.  
Support may be reimbursement or additional equipment. ^2
Home office equipment rules:  
- Use primarily for business.  
- Keep devices secure.  
- Avoid unauthorized software.  
- Report loss or damage immediately.  
- Use MFA for remote access. ^2
Flexible work is also listed as an employee perk.  
It supports remote work where possible. ^3
Sources:  
- ^1 [Document 3_ General Employment Policies.txt](https://api.github.com/repos/tobiaszwingmann/lil-n8n-eval/contents/documents/Document%203_%20General%20Employment%20Policies.txt?ref=main)  
- ^2 [Document 9_ IT Usage and Security Policies.txt](https://api.github.com/repos/tobiaszwingmann/lil-n8n-eval/contents/documents/Document%209_%20IT%20Usage%20and%20Security%20Policies.txt?ref=main)  
- ^3 [Document 6_ Employee Benefits and Perks.txt](https://api.github.com/repos/tobiaszwingmann/lil-n8n-eval/contents/documents/Document%206_%20Employee%20Benefits%20and%20Perks.txt?ref=main)</t>
  </si>
  <si>
    <t>The answer includes mostly true remote-work requirements and equipment support but omits the key points about remote/hybrid eligibility, manager arrangement, stipend/reimbursement details for peripherals like printers, and explicitly notes that personal laptops are generally not allowed (instead it mentions IT complements with equipment without that prohibition).</t>
  </si>
  <si>
    <t>2026-06-27T18:16:08.838Z</t>
  </si>
  <si>
    <t>How are annual performance reviews connected to pay raises and bonuses?</t>
  </si>
  <si>
    <t>Document 5: Compensation, Payroll, and Promotions | Document 8: Performance Reviews and Career Development</t>
  </si>
  <si>
    <t>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t>
  </si>
  <si>
    <t>Annual reviews can affect raises and bonuses.
- Reviews may influence merit increases.
- Reviews may influence bonuses.
- Raises use performance ratings.
- Raises also use market benchmarks.
- Raises depend on company budget.
- Bonuses depend on company targets.
- Bonuses also depend on personal performance.
- Bonuses are not guaranteed.^1 ^2
Sources:  
- ^1 [Document 8_ Performance Reviews and Career Development.txt](https://api.github.com/repos/tobiaszwingmann/lil-n8n-eval/contents/documents/Document%208_%20Performance%20Reviews%20and%20Career%20Development.txt?ref=main)  
- ^2 [Document 5_ Compensation, Payroll, and Promotions.txt](https://api.github.com/repos/tobiaszwingmann/lil-n8n-eval/contents/documents/Document%205_%20Compensation,%20Payroll,%20and%20Promotions.txt?ref=main)</t>
  </si>
  <si>
    <t>The answer correctly states that reviews affect merit increases/bonuses but omits the mid-year check-in and promotions link, and includes extra qualifiers like “not guaranteed.”</t>
  </si>
  <si>
    <t>2026-06-27T18:16:22.116Z</t>
  </si>
  <si>
    <t>Does ABC Inc offer pet insurance as an employee benefit?</t>
  </si>
  <si>
    <t>NA</t>
  </si>
  <si>
    <t>This is not addressed anywhere in the handbook.</t>
  </si>
  <si>
    <t>No. Pet insurance is not listed as an employee benefit. Listed benefits include health insurance, HSA/FSA, life insurance, disability insurance, mental health support, 401(k), PTO, and additional perks.^1
Sources:  
- ^1 [Document 6_ Employee Benefits and Perks.txt](https://api.github.com/repos/tobiaszwingmann/lil-n8n-eval/contents/documents/Document%206_%20Employee%20Benefits%20and%20Perks.txt?ref=main)</t>
  </si>
  <si>
    <t>The answer asserts specific benefit-list details, but the ground truth only states that pet insurance is not addressed anywhere in the handbook.</t>
  </si>
  <si>
    <t>2026-06-27T18:16:31.622Z</t>
  </si>
  <si>
    <t>What is the company's sabbatical leave policy?</t>
  </si>
  <si>
    <t>This is not addressed anywhere in the handbook; the leave policy covers vacation, sick, personal, parental, bereavement, jury, military, and unpaid leave only.</t>
  </si>
  <si>
    <t>I’m sorry, I can’t answer that. Please contact HR.</t>
  </si>
  <si>
    <t>The response does not provide the handbook-based coverage information stated in the ground truth and instead gives an unrelated refusal to answer.</t>
  </si>
  <si>
    <t>2026-06-27T18:16:39.813Z</t>
  </si>
  <si>
    <t>What is the dress code?</t>
  </si>
  <si>
    <t>Business casual - e.g., collared shirts, blouses, slacks or neat jeans, and closed-toe shoes. Fridays are casual (jeans and sneakers welcome). Remote staff may dress more casually but should be presentable for video meetings.</t>
  </si>
  <si>
    <t>Our dress code is business-casual.^1
- Professional but comfortable clothing.
- Collared shirts and blouses are fine.
- Slacks or neat jeans are fine.
- Closed-toe shoes are generally fine.
- Fridays allow jeans and sneakers.
- Remote workers may dress casually.
- Be presentable for video meetings.
- Some teams may have specific requirements.
Sources:  
- ^1 [Document 3_ General Employment Policies.txt](https://api.github.com/repos/tobiaszwingmann/lil-n8n-eval/contents/documents/Document%203_%20General%20Employment%20Policies.txt?ref=main)</t>
  </si>
  <si>
    <t>The response matches all key ground-truth facts but adds extra details about team-specific requirements and generic categories beyond what the reference states.</t>
  </si>
  <si>
    <t>2026-06-27T18:16:48.788Z</t>
  </si>
  <si>
    <t>Calling Download_File with input: {"URL":"https://raw.githubusercontent.com/tobiaszwingmann/lil-n8n-eval/main/documents/Document%209_%20IT%20Usage%20and%20Security%20Policies.txt?token=AJJHWK3EBNVKNM5XPPURKOLKIALDDAA"}</t>
  </si>
  <si>
    <t>The output does not mention the ground-truth topic (“Multi-Factor Authentication (MFA)”) and instead includes an unrelated download log line.</t>
  </si>
  <si>
    <t>{"id":"14269","finished":false,"mode":"manual","retryOf":null,"retrySuccessId":null,"status":"running","createdAt":"2026-06-27T18:26:59.180Z","startedAt":"2026-06-27T18:26:59.214Z","stoppedAt":null,"deletedAt":null,"workflowId":"N20Npzd6xHWX7JZe","waitTill":null,"storedAt":"fs","tracingContext":null,"deduplicationKey":null,"jsonSizeBytes":27350,"workflowVersionId":"d3303b3f-9cfa-450f-9c90-450676d307ff"}</t>
  </si>
  <si>
    <t>Fri Jun 26 2026 20:35:53 GMT+0000 (Coordinated Universal Time)</t>
  </si>
  <si>
    <t>Sat Jun 27 2026 18:27:08 GMT+0000 (Coordinated Universal Time)</t>
  </si>
  <si>
    <t>Gemini 3.5 Flash</t>
  </si>
  <si>
    <t>To operate a fire extinguisher, use the **PASS** method:
*   **P**ull the pin.
*   **A**im at the base of the fire.
*   **S**queeze the trigger.
*   **S**weep from side to side.^1
This technique should only be used on very small fires by trained individuals.^1
Sources:
- ^1 [Document 10_ Workplace Safety and Emergency Procedures.txt](https://raw.githubusercontent.com/tobiaszwingmann/lil-n8n-eval/main/documents/Document%2010_%20Workplace%20Safety%20and%20Emergency%20Procedures.txt?token=AJJHWKYLJFIZBA3XXTFMY2TKIALDVAA)</t>
  </si>
  <si>
    <t>The answer correctly states the PASS method steps but adds extra, out-of-scope qualifiers about use on small fires and cites a source.</t>
  </si>
  <si>
    <t>Sat Jun 27 2026 18:27:18 GMT+0000 (Coordinated Universal Time)</t>
  </si>
  <si>
    <t>Calling Download_File with input: {"URL":"https://raw.githubusercontent.com/tobiaszwingmann/lil-n8n-eval/main/documents/Document%2010_%20Workplace%20Safety%20and%20Emergency%20Procedures.txt?token=AJJHWK2PRGAJLX3FSMGTM53KIALEJAA"}</t>
  </si>
  <si>
    <t>The output does not include the ground-truth text and instead provides an unrelated function-call snippet.</t>
  </si>
  <si>
    <t>Sat Jun 27 2026 18:27:26 GMT+0000 (Coordinated Universal Time)</t>
  </si>
  <si>
    <t>Employees are paid on a bi-weekly schedule^1. Paychecks are issued every two weeks, typically every other Friday^1.
Sources:
- ^1 [Document 5_ Compensation, Payroll, and Promotions.txt](https://api.github.com/repos/tobiaszwingmann/lil-n8n-eval/contents/documents/Document%205_%20Compensation,%20Payroll,%20and%20Promotions.txt?ref=main)</t>
  </si>
  <si>
    <t>The answer correctly states the bi-weekly cadence and “every other Friday,” but it adds an extra reference/source block not present in the ground truth scope.</t>
  </si>
  <si>
    <t>Sat Jun 27 2026 18:27:34 GMT+0000 (Coordinated Universal Time)</t>
  </si>
  <si>
    <t>To request parental leave, please follow these steps:
*   Inform HR at least 30 days in advance when feasible.^1
*   Work with HR to complete all necessary forms.^1
*   Coordinate paperwork and absence planning with the HR team.^1
*   Obtain manager approval for flexible leave arrangements.^1
*   Submit the formal request through the company’s HR system.^1
If you have additional questions, please contact HR.
Sources: 
- ^1 [Document 7_ Leave and Time Off Policies.txt](https://raw.githubusercontent.com/tobiaszwingmann/lil-n8n-eval/main/documents/Document%207_%20Leave%20and%20Time%20Off%20Policies.txt?token=AJJHWKZN3EU7EA6NN4WH323KIALFJAA)</t>
  </si>
  <si>
    <t>The answer gives procedural steps but omits key eligibility/pay details and FMLA paperwork information while adding approval and HR-system submission steps not in the reference.</t>
  </si>
  <si>
    <t>Sat Jun 27 2026 18:27:46 GMT+0000 (Coordinated Universal Time)</t>
  </si>
  <si>
    <t>The annual performance review follows these steps:
*   **Goal Setting:** Set SMART goals annually with your manager.^1
*   **Ongoing Feedback:** Regular check-ins and mid-year reviews occur.^1
*   **Self-Assessment:** Complete a self-review of achievements and goals.^1
*   **Manager Evaluation:** Manager evaluates performance against role expectations.^1
*   **360-Degree Feedback:** Peer feedback may be gathered if applicable.^1
*   **Review Meeting:** Discuss evaluation details one-on-one with your manager.^1
*   **Rating and Outcome:** Performance ratings can influence merit pay increases.^1
Sources:
- ^1 [Document 8_ Performance Reviews and Career Development.txt](https://raw.githubusercontent.com/tobiaszwingmann/lil-n8n-eval/main/documents/Document%208_%20Performance%20Reviews%20and%20Career%20Development.txt?token=AJJHWK3UDTHTK36O6PUYEO3KIALGBAA)</t>
  </si>
  <si>
    <t>The answer accurately matches the ground truth steps and timing, with no extra or incorrect facts.</t>
  </si>
  <si>
    <t>Sat Jun 27 2026 18:27:59 GMT+0000 (Coordinated Universal Time)</t>
  </si>
  <si>
    <t>Based on our HR policies, remote work eligibility and expectations are as follows:
### Eligibility
*   Depends on role and team needs.^1
*   Discussed with your manager.^1
*   Can be part-time or full-time.^1
### Expectations
*   Maintain a proper workspace and reliable internet.^1
*   Stay fully engaged and available during work hours.^1
*   Attend all scheduled meetings.^1
*   Meet productivity expectations similar to in-office staff.^1
*   Dress presentably for video meetings.^1
*   Use company equipment primarily for business purposes.^2
*   Keep company property secure and handle it with care.^1 ^2
*   Use Multi-Factor Authentication (MFA) for remote access.^2
*   Report lost or stolen equipment to IT immediately.^2
I’m sorry, if you need more specific details about your role's eligibility, please contact HR.
**Sources:**
- ^1 [Document 3_ General Employment Policies.txt](https://raw.githubusercontent.com/tobiaszwingmann/lil-n8n-eval/main/documents/Document%203_%20General%20Employment%20Policies.txt?token=AJJHWKZRIDMBQQQET7JR2K3KIALGZAA)
- ^2 [Document 9_ IT Usage and Security Policies.txt](https://raw.githubusercontent.com/tobiaszwingmann/lil-n8n-eval/main/documents/Document%209_%20IT%20Usage%20and%20Security%20Policies.txt?token=AJJHWKY6H5POJUNXX7PSYQDKIALGZAA)</t>
  </si>
  <si>
    <t>The answer matches the ground-truth requirements for remote/hybrid eligibility and core expectations, but includes additional HR/IT items not present in the reference.</t>
  </si>
  <si>
    <t>Sat Jun 27 2026 18:28:14 GMT+0000 (Coordinated Universal Time)</t>
  </si>
  <si>
    <t>Calling Download_File with input: {"URL":"https://raw.githubusercontent.com/tobiaszwingmann/lil-n8n-eval/main/documents/Document%202_%20Onboarding%20Process%20and%20New%20Hire%20Orientation.txt?token=AJJHWK7VKX25T4D6XMLYYHDKIALHZAA"}</t>
  </si>
  <si>
    <t>The output only logs a function call with a URL and does not include the onboarding process steps from the ground truth, while adding unrelated call details.</t>
  </si>
  <si>
    <t>Sat Jun 27 2026 18:28:21 GMT+0000 (Coordinated Universal Time)</t>
  </si>
  <si>
    <t>For a birth mother, paid parental leave coordinates with short-term disability as follows:
*   **Total Leave Duration**: Birth mothers are eligible for up to 12 weeks of leave.^1
*   **Company Pay**: The company provides six weeks of fully paid parental leave.^1
*   **STD Coverage**: Short-term disability (STD) typically covers 6-8 weeks of medical recovery.^1
*   **Concurrent Benefit**: Parental leave and STD benefits run concurrently.^1
*   **Supplemental Options**: Remaining weeks can be unpaid or covered by accrued vacation.^1
*   **Disability Pay**: STD insurance pays a portion of your salary during recovery.^2
Sources:
- ^1 [Document 7_ Leave and Time Off Policies.txt](https://raw.githubusercontent.com/tobiaszwingmann/lil-n8n-eval/main/documents/Document%207_%20Leave%20and%20Time%20Off%20Policies.txt)
- ^2 [Document 6_ Employee Benefits and Perks.txt](https://raw.githubusercontent.com/tobiaszwingmann/lil-n8n-eval/main/documents/Document%206_%20Employee%20Benefits%20and%20Perks.txt)</t>
  </si>
  <si>
    <t>The answer is accurate but omits the “company-paid up to ~13 weeks” detail and HR coordination, and includes some extra/uncited phrasing like supplemental unpaid/vacation options and a generic “disability pay” statement beyond the reference.</t>
  </si>
  <si>
    <t>Sat Jun 27 2026 18:28:50 GMT+0000 (Coordinated Universal Time)</t>
  </si>
  <si>
    <t>If you exhaust your 10 days of paid sick leave, your income may be covered by disability insurance.^1 Short-Term Disability (STD) pays a portion of your salary for up to 13 weeks.^1 For extended periods, Long-Term Disability (LTD) provides continued income protection.^1 You can also request an unpaid leave of absence if needed.^2
*   Paid sick leave is 10 days.
*   STD pays a portion of salary.
*   STD coverage lasts up to 13 weeks.
*   LTD covers longer serious health conditions.
*   Unpaid leave of absence is an option.
Sources:
- ^1 [Document 6_ Employee Benefits and Perks.txt](https://raw.githubusercontent.com/tobiaszwingmann/lil-n8n-eval/main/documents/Document%206_%20Employee%20Benefits%20and%20Perks.txt?token=AJJHWK6MMJ4XSTCUTVWSBJLKIALJ7AA)
- ^2 [Document 7_ Leave and Time Off Policies.txt](https://raw.githubusercontent.com/tobiaszwingmann/lil-n8n-eval/main/documents/Document%207_%20Leave%20and%20Time%20Off%20Policies.txt?token=AJJHWK3YNUR525LZNXBC3DLKIALJ7AA)</t>
  </si>
  <si>
    <t>The answer accurately states the ground-truth facts about 10 paid sick days and how STD and LTD cover longer absences, without adding unsupported claims.</t>
  </si>
  <si>
    <t>Sat Jun 27 2026 18:29:08 GMT+0000 (Coordinated Universal Time)</t>
  </si>
  <si>
    <t>The remote-work policy and IT support work together to ensure you have a functional and secure home office.
*   The company provides laptops, monitors, and phones.^1,2
*   Stipends or equipment support assist with home setups.^1
*   Employees may receive reimbursement for peripherals like printers.^2
*   Multi-Factor Authentication (MFA) is mandatory for remote access.^2
*   Remote workers must maintain reliable internet and workspaces.^1
*   Personal laptops are generally prohibited for work tasks.^2
Sources:
- ^1 [Document 3_ General Employment Policies.txt](https://raw.githubusercontent.com/tobiaszwingmann/lil-n8n-eval/main/documents/Document%203_%20General%20Employment%20Policies.txt?token=AJJHWK3M6UIOK5X6J3MHZUTKIALLFAA)
- ^2 [Document 9_ IT Usage and Security Policies.txt](https://raw.githubusercontent.com/tobiaszwingmann/lil-n8n-eval/main/documents/Document%209_%20IT%20Usage%20and%20Security%20Policies.txt?token=AJJHWKY5RYYRPBTUEKMRQHTKIALLFAA)</t>
  </si>
  <si>
    <t>The answer accurately covers the ground truth items about workspace/internet, support via stipend/equipment and printer reimbursement, and prohibition of personal laptops, but it omits the key point that remote/hybrid eligibility depends on your manager.</t>
  </si>
  <si>
    <t>Sat Jun 27 2026 18:29:24 GMT+0000 (Coordinated Universal Time)</t>
  </si>
  <si>
    <t>Annual performance reviews are directly linked to salary adjustments and bonus payouts:
*   Reviews help determine merit-based salary increases. ^1
*   Raises depend on performance ratings and company budgets. ^1
*   Bonuses reward meeting or exceeding personal performance goals. ^1
*   Bonuses also depend on company-wide financial targets. ^1
*   Review outcomes influence final merit pay decisions. ^2
*   Bonus criteria are shared during the review season. ^1
Sources:
- ^1 [Document 5_ Compensation, Payroll, and Promotions.txt](https://raw.githubusercontent.com/tobiaszwingmann/lil-n8n-eval/main/documents/Document%205_%20Compensation%2C%20Payroll%2C%20and%20Promotions.txt?token=AJJHWK2X2SLSUMN3C7YDQJLKIALMFAA)
- ^2 [Document 8_ Performance Reviews and Career Development.txt](https://raw.githubusercontent.com/tobiaszwingmann/lil-n8n-eval/main/documents/Document%208_%20Performance%20Reviews%20and%20Career%20Development.txt?token=AJJHWK424WJ5H6QMC5GGSJDKIALMFAA)</t>
  </si>
  <si>
    <t>The answer correctly links annual performance reviews to merit increases and bonuses with company and individual criteria, but it omits the year-end/mid-year review timing, market benchmarks, and promotion linkage, and it adds extra detail not in the reference.</t>
  </si>
  <si>
    <t>Sat Jun 27 2026 18:29:36 GMT+0000 (Coordinated Universal Time)</t>
  </si>
  <si>
    <t>Calling Download_File with input: {"URL":"https://raw.githubusercontent.com/tobiaszwingmann/lil-n8n-eval/main/documents/Document%206_%20Employee%20Benefits%20and%20Perks.txt?token=AJJHWK6TD63IQLBQGJTWSQTKIALM5AA"}</t>
  </si>
  <si>
    <t>The output only shows a function call and does not state the required ground-truth claim that it is not addressed anywhere in the handbook.</t>
  </si>
  <si>
    <t>Sat Jun 27 2026 18:29:44 GMT+0000 (Coordinated Universal Time)</t>
  </si>
  <si>
    <t>Calling Download_File with input: {"URL":"https://raw.githubusercontent.com/tobiaszwingmann/lil-n8n-eval/main/documents/Document%207_%20Leave%20and%20Time%20Off%20Policies.txt?token=AJJHWK6NICOV27X7PEJPPYTKIALNLAA"}</t>
  </si>
  <si>
    <t>The output only shows a function call URL and does not state the handbook/leave-policy limitation given in the ground truth, while including unrelated content.</t>
  </si>
  <si>
    <t>Sat Jun 27 2026 18:29:51 GMT+0000 (Coordinated Universal Time)</t>
  </si>
  <si>
    <t>Our company follows a business-casual dress code.^1
*   Wear professional yet comfortable attire.^1
*   Examples include collared shirts and blouses.^1
*   Slacks or neat jeans are acceptable.^1
*   Wear closed-toe shoes for safety.^1
*   Fridays are casual (jeans and sneakers).^1
*   Remote workers must be video-meeting presentable.^1
Sources:
- ^1 [Document 3_ General Employment Policies.txt](https://raw.githubusercontent.com/tobiaszwingmann/lil-n8n-eval/main/documents/Document%203_%20General%20Employment%20Policies.txt?token=AJJHWK4GQR2OALLUPWQ3KC3KIALN3AA)</t>
  </si>
  <si>
    <t>The output accurately covers all the ground-truth business-casual details with no contradictory or extra unsupported information.</t>
  </si>
  <si>
    <t>Sat Jun 27 2026 18:30:00 GMT+0000 (Coordinated Universal Time)</t>
  </si>
  <si>
    <t>Run Dashboard</t>
  </si>
  <si>
    <t>Selected-run KPIs</t>
  </si>
  <si>
    <t>Chart helpers (formula-driven)</t>
  </si>
  <si>
    <t>Metric</t>
  </si>
  <si>
    <t>Value</t>
  </si>
  <si>
    <t>All runs avg</t>
  </si>
  <si>
    <t>Delta vs all</t>
  </si>
  <si>
    <t>Issue</t>
  </si>
  <si>
    <t>Rate</t>
  </si>
  <si>
    <t>Evaluated questions</t>
  </si>
  <si>
    <t>Erroneous</t>
  </si>
  <si>
    <t>Avg simple correctness</t>
  </si>
  <si>
    <t>Missing</t>
  </si>
  <si>
    <t>Avg advanced score</t>
  </si>
  <si>
    <t>Unnecessary</t>
  </si>
  <si>
    <t>Perfect advanced score %</t>
  </si>
  <si>
    <t>Source count mismatch</t>
  </si>
  <si>
    <t>Source count match %</t>
  </si>
  <si>
    <t>Erroneous rate</t>
  </si>
  <si>
    <t>Advanced score</t>
  </si>
  <si>
    <t>Count</t>
  </si>
  <si>
    <t>Missing rate</t>
  </si>
  <si>
    <t>Unnecessary rate</t>
  </si>
  <si>
    <t>Blank / not scored</t>
  </si>
  <si>
    <t>Measure</t>
  </si>
  <si>
    <t>Selected run</t>
  </si>
  <si>
    <t>Runs Over Time</t>
  </si>
  <si>
    <t>Remote access and important applications require **Multi-Factor Authentication (MFA)**.  
That means a **second login step**, such as a code from an authenticator app or text message.  
You also need a **strong password**: at least 8 characters, with letters, numbers, and symbols.  
Key accounts require **password changes every 90 days**.  
Never share your password. ^1
Sources:  
- ^1 [Document 9_ IT Usage and Security Policies.txt](https://raw.githubusercontent.com/tobiaszwingmann/lil-n8n-eval/main/documents/Document%209_%20IT%20Usage%20and%20Security%20Policies.txt?token=AJJHWKZNNYUHKQCKGS7A3FDKIAL4HAA)</t>
  </si>
  <si>
    <t>The answer contains extra specific security policy details not present in the ground truth and omits that only 'Multi-Factor Authentication (MFA)' is the required content.</t>
  </si>
  <si>
    <t>{"id":"14270","finished":false,"mode":"manual","retryOf":null,"retrySuccessId":null,"status":"running","createdAt":"2026-06-27T18:33:42.247Z","startedAt":"2026-06-27T18:33:42.280Z","stoppedAt":null,"deletedAt":null,"workflowId":"N20Npzd6xHWX7JZe","waitTill":null,"storedAt":"fs","tracingContext":null,"deduplicationKey":null,"jsonSizeBytes":27407,"workflowVersionId":"0a9c4731-48ac-4301-aea0-ec08c1057aa3"}</t>
  </si>
  <si>
    <t>Sat Jun 27 2026 18:33:54 GMT+0000 (Coordinated Universal Time)</t>
  </si>
  <si>
    <t>Use the **PASS** method.
- Pull the pin.
- Aim at the fire’s base.
- Squeeze the trigger.
- Sweep side to side.
Use it only if you’re trained.
Use it only for very small fires.[^1]
Sources:
- ^1 [Document 10_ Workplace Safety and Emergency Procedures.txt](https://raw.githubusercontent.com/tobiaszwingmann/lil-n8n-eval/main/documents/Document%2010_%20Workplace%20Safety%20and%20Emergency%20Procedures.txt?token=AJJHWK2FEGL7Q6UWSKIFNGDKIAL47AA)</t>
  </si>
  <si>
    <t>The answer includes the correct PASS method steps but adds extra cautions and a source not present in the ground truth.</t>
  </si>
  <si>
    <t>Sat Jun 27 2026 18:34:04 GMT+0000 (Coordinated Universal Time)</t>
  </si>
  <si>
    <t>The primary assembly point is the parking lot across the street. If posted, use the designated spot on the evacuation map. Check in with your supervisor or the warden there.^1
Sources:  
- ^1 [Document 10_ Workplace Safety and Emergency Procedures.txt](https://raw.githubusercontent.com/tobiaszwingmann/lil-n8n-eval/main/documents/Document%2010_%20Workplace%20Safety%20and%20Emergency%20Procedures.txt?token=AJJHWKZ42DVBPPGUGKPF4ITKIAL5VAA)</t>
  </si>
  <si>
    <t>The answer correctly identifies the parking lot across the street but adds extra procedural details not in the ground truth.</t>
  </si>
  <si>
    <t>Sat Jun 27 2026 18:34:15 GMT+0000 (Coordinated Universal Time)</t>
  </si>
  <si>
    <t>Employees are paid bi-weekly.  
That means every two weeks, typically every other Friday.^1
Sources:  
- ^1 [Document 5_ Compensation, Payroll, and Promotions.txt](https://raw.githubusercontent.com/tobiaszwingmann/lil-n8n-eval/main/documents/Document%205_%20Compensation,%20Payroll,%20and%20Promotions.txt?token=AJJHWK3UFTKQ5VYBL7KDHDDKIAL6JAA)</t>
  </si>
  <si>
    <t>The answer correctly states that bi-weekly pay means every two weeks and typically every other Friday, matching the ground truth exactly.</t>
  </si>
  <si>
    <t>Sat Jun 27 2026 18:34:24 GMT+0000 (Coordinated Universal Time)</t>
  </si>
  <si>
    <t>To request parental leave, notify HR as early as possible.  
Aim for at least 30 days’ notice, if feasible.  
Submit planned leave through the HR system.  
Your manager approves it online.  
Work with HR on any extra forms.  
This is especially important if FMLA applies.  
If you want flexible timing, get manager approval.  
Flexible parental leave must be within the first year.¹
Sources:  
- ^1 [Document 7_ Leave and Time Off Policies.txt](https://raw.githubusercontent.com/tobiaszwingmann/lil-n8n-eval/main/documents/Document%207_%20Leave%20and%20Time%20Off%20Policies.txt?token=AJJHWKY2IJO64YQ6ZZ4COCLKIAL63AA)</t>
  </si>
  <si>
    <t>The answer includes some correct procedural steps but omits key eligibility/pay details and incorrectly adds an extra constraint about flexible leave timing not present in the ground truth.</t>
  </si>
  <si>
    <t>Sat Jun 27 2026 18:34:39 GMT+0000 (Coordinated Universal Time)</t>
  </si>
  <si>
    <t>Annual reviews happen once a year, usually at year-end, with a mid-year check-in. You and your manager set goals first, then review progress, achievements, and challenges. ^1
Steps:
- Complete your self-assessment.
- Manager evaluates your performance.
- Optional peer feedback may be collected.
- Meet one-on-one with your manager.
- Discuss feedback and career goals.
- Review rating and outcome.
- Plan next-year goals and development.
Regular check-ins continue during the year. That helps avoid surprises at review time. ^1
Sources:
- ^1 [Document 8_ Performance Reviews and Career Development.txt](https://raw.githubusercontent.com/tobiaszwingmann/lil-n8n-eval/main/documents/Document%208_%20Performance%20Reviews%20and%20Career%20Development.txt?token=AJJHWK6LQBTI5FSSR6JUYRLKIAL7ZAA)</t>
  </si>
  <si>
    <t>The response matches the ground truth content but adds extra procedural detail (e.g., optional peer feedback wording and regular check-ins) not stated in the reference.</t>
  </si>
  <si>
    <t>Sat Jun 27 2026 18:34:53 GMT+0000 (Coordinated Universal Time)</t>
  </si>
  <si>
    <t>Many roles are eligible for remote work, either part-time or full-time, depending on team needs. If your position qualifies, you should review the arrangement with your manager and follow any department hybrid guidelines. ^1
Remote employees are expected to have a proper workspace and reliable internet. They should be fully engaged during work hours, stay available online, attend meetings, and meet productivity expectations like in-office staff. ^1
Sources:  
- ^1 [Document 3_ General Employment Policies.txt](https://raw.githubusercontent.com/tobiaszwingmann/lil-n8n-eval/main/documents/Document%203_%20General%20Employment%20Policies.txt?token=AJJHWKZOWOHQHACXR7YC3H3KIAMAVAA)</t>
  </si>
  <si>
    <t>The answer matches the ground truth requirements but adds extra detail (part-time vs full-time and the specific mention of department hybrid guidelines) not present in the reference.</t>
  </si>
  <si>
    <t>Sat Jun 27 2026 18:35:08 GMT+0000 (Coordinated Universal Time)</t>
  </si>
  <si>
    <t>On day one, new hires should arrive at the front desk by 9:00 AM for HR orientation. They can expect paperwork, an ID badge, a tour, equipment setup, a quick policy overview, benefits enrollment guidance, and time for questions. Each new hire is also paired with a buddy or mentor, and lunch is usually provided.^1
Sources:
- ^1 [Document 2_ Onboarding Process and New Hire Orientation.txt](https://raw.githubusercontent.com/tobiaszwingmann/lil-n8n-eval/main/documents/Document%202_%20Onboarding%20Process%20and%20New%20Hire%20Orientation.txt?token=AJJHWK7N44RT4ZRN7T255KDKIAMBVAA)</t>
  </si>
  <si>
    <t>The output matches the ground truth content with no contradictions and no omitted or extra key details.</t>
  </si>
  <si>
    <t>Sat Jun 27 2026 18:35:21 GMT+0000 (Coordinated Universal Time)</t>
  </si>
  <si>
    <t>For a birth mother, paid parental leave runs concurrently with short-term disability. Short-term disability typically covers 6–8 weeks of medical recovery time. Parental leave can provide up to 12 weeks total, with 6 weeks fully paid. The remaining 6 weeks may be unpaid, or covered by accrued vacation. During paid leave, salary and benefits continue as normal. ^1^2
Sources:  
- ^1 [Document 7_ Leave and Time Off Policies.txt](https://raw.githubusercontent.com/tobiaszwingmann/lil-n8n-eval/main/documents/Document%207_%20Leave%20and%20Time%20Off%20Policies.txt?token=AJJHWK5BDWIEILW42HDEFULKIAMCNAA)  
- ^2 [Document 6_ Employee Benefits and Perks.txt](https://raw.githubusercontent.com/tobiaszwingmann/lil-n8n-eval/main/documents/Document%206_%20Employee%20Benefits%20and%20Perks.txt?token=AJJHWKZRNMIQ5IRPXSBTGE3KIAMCNAA)</t>
  </si>
  <si>
    <t>The answer matches the leave/STD overlap and payment timing but omits key details that STD is company-paid with salary replacement up to 13 weeks and the HR/paperwork coordination, while adding some potentially speculative wording about unpaid vs accrued vacation coverage.</t>
  </si>
  <si>
    <t>Sat Jun 27 2026 18:35:35 GMT+0000 (Coordinated Universal Time)</t>
  </si>
  <si>
    <t>If you exhaust paid sick leave, **short-term disability** can pay a portion of your salary, generally up to **13 weeks**. If your health condition lasts longer, **long-term disability** may continue income. You may also request an **unpaid leave of absence** if you still need time off.¹²
Sources:  
- ¹ [Document 6_ Employee Benefits and Perks.txt](https://github.com/tobiaszwingmann/lil-n8n-eval/blob/main/documents/Document%206_%20Employee%20Benefits%20and%20Perks.txt)  
- ² [Document 7_ Leave and Time Off Policies.txt](https://github.com/tobiaszwingmann/lil-n8n-eval/blob/main/documents/Document%207_%20Leave%20and%20Time%20Off%20Policies.txt)</t>
  </si>
  <si>
    <t>The answer correctly describes STD up to 13 weeks and long-term disability beyond that, but it omits the 10 paid sick days per year and adds an extra 'unpaid leave of absence' detail not in the reference.</t>
  </si>
  <si>
    <t>Sat Jun 27 2026 18:35:49 GMT+0000 (Coordinated Universal Time)</t>
  </si>
  <si>
    <t>Remote work requires a proper workspace and reliable internet. You also need to stay available online, attend meetings, and meet productivity expectations. The company may provide a stipend or company equipment for home-office support. IT supplies business devices like laptops, monitors, and phones. Remote access uses MFA. Special equipment needs should go through IT/HR. Personal laptops are generally not allowed unless authorized. [^1][^2]
Sources:  
- [^1] [Document 3_ General Employment Policies.txt](https://api.github.com/repos/tobiaszwingmann/lil-n8n-eval/contents/documents/Document%203_%20General%20Employment%20Policies.txt?ref=main)  
- [^2] [Document 9_ IT Usage and Security Policies.txt](https://api.github.com/repos/tobiaszwingmann/lil-n8n-eval/contents/documents/Document%209_%20IT%20Usage%20and%20Security%20Policies.txt?ref=main)</t>
  </si>
  <si>
    <t>The output adds extra specifics (meetings/productivity/MFA) not in the reference and omits that remote/hybrid eligibility is role-dependent and arranged with a manager.</t>
  </si>
  <si>
    <t>Sat Jun 27 2026 18:36:05 GMT+0000 (Coordinated Universal Time)</t>
  </si>
  <si>
    <t>Annual performance reviews can affect both pay raises and bonuses. The review outcome may influence merit pay increases or bonuses. Raises are distributed from an annual budget based on performance ratings, market benchmarks, and other factors. Bonuses are discretionary and may depend on company financial targets and your performance goals. ^1 ^2
Sources:  
- ^1 [Document 8_ Performance Reviews and Career Development.txt](https://raw.githubusercontent.com/tobiaszwingmann/lil-n8n-eval/main/documents/Document%208_%20Performance%20Reviews%20and%20Career%20Development.txt?token=AJJHWK2QKT766WYXPQFRPZLKIAMFFAA)  
- ^2 [Document 5_ Compensation, Payroll, and Promotions.txt](https://raw.githubusercontent.com/tobiaszwingmann/lil-n8n-eval/main/documents/Document%205_%20Compensation%2C%20Payroll%2C%20and%20Promotions.txt?token=AJJHWK64UI4VLS6P24HW6ATKIAMFFAA)</t>
  </si>
  <si>
    <t>The answer correctly describes annual rating-driven raises and conditional discretionary bonuses, but it omits the year-end/mid-year review cadence and the promotion link while adding details like discretion beyond the reference framing.</t>
  </si>
  <si>
    <t>Sat Jun 27 2026 18:36:18 GMT+0000 (Coordinated Universal Time)</t>
  </si>
  <si>
    <t>I’m sorry, I can’t answer that. Please contact HR</t>
  </si>
  <si>
    <t>The response does not match the ground truth explanation that the issue is not addressed in the handbook.</t>
  </si>
  <si>
    <t>Sat Jun 27 2026 18:36:27 GMT+0000 (Coordinated Universal Time)</t>
  </si>
  <si>
    <t>The response refuses without providing the handbook-based information required, and it adds irrelevant HR-contact advice.</t>
  </si>
  <si>
    <t>Sat Jun 27 2026 18:36:37 GMT+0000 (Coordinated Universal Time)</t>
  </si>
  <si>
    <t>The dress code is business-casual.  
Examples: collared shirts, blouses, slacks, neat jeans, closed-toe shoes.  
Fridays are casual dress days. Jeans and sneakers are allowed.  
Remote workers may dress more casually for video meetings.  
Some teams may have specific attire requirements. ^1
Sources:
- ^1 [Document 3_ General Employment Policies.txt](https://raw.githubusercontent.com/tobiaszwingmann/lil-n8n-eval/main/documents/Document%203_%20General%20Employment%20Policies.txt?token=AJJHWK54JL4LKEJS4UPEGGTKIAMHLAA)</t>
  </si>
  <si>
    <t>The answer matches all key dress-code points from the reference but adds minor extra details like “Some teams may have specific attire requirements.”</t>
  </si>
  <si>
    <t>Sat Jun 27 2026 18:36:48 GMT+0000 (Coordinated Universal Time)</t>
  </si>
  <si>
    <t>GPT 5.4 mini high</t>
  </si>
  <si>
    <t>For **remote access** and **important applications**, the required login security is **Multi-Factor Authentication (MFA)**. You must complete a **second login step** (e.g., authenticator app code or text message code).[^1]
Also required for login accounts:
- Use **strong passwords** (at least 8 characters).
- Use a mix of **letters, numbers, and symbols**.
- **Do not share passwords** with anyone (even IT).[^1]
Sources:  
- ^1 [Document 9_ IT Usage and Security Policies.txt](https://api.github.com/repos/tobiaszwingmann/lil-n8n-eval/contents/documents/Document%209_%20IT%20Usage%20and%20Security%20Policies.txt?ref=main)</t>
  </si>
  <si>
    <t>The answer correctly states that Multi-Factor Authentication (MFA) is required, but adds extra login/security details not present in the ground truth.</t>
  </si>
  <si>
    <t>{"id":"14271","finished":false,"mode":"manual","retryOf":null,"retrySuccessId":null,"status":"running","createdAt":"2026-06-27T18:47:37.749Z","startedAt":"2026-06-27T18:47:37.785Z","stoppedAt":null,"deletedAt":null,"workflowId":"N20Npzd6xHWX7JZe","waitTill":null,"storedAt":"fs","tracingContext":null,"deduplicationKey":null,"jsonSizeBytes":27407,"workflowVersionId":"633a66d9-d771-44e9-af53-e21df6ab5e3b"}</t>
  </si>
  <si>
    <t>Sat Jun 27 2026 18:47:48 GMT+0000 (Coordinated Universal Time)</t>
  </si>
  <si>
    <t>Use the **PASS method** to operate a fire extinguisher: **Pull** the pin, **Aim** at the base, **Squeeze** the trigger, and **Sweep** side to side.**[1]**
Sources:  
- ^1 [Document 10_ Workplace Safety and Emergency Procedures.txt](https://raw.githubusercontent.com/tobiaszwingmann/lil-n8n-eval/main/documents/Document%2010_%20Workplace%20Safety%20and%20Emergency%20Procedures.txt?token=AJJHWK7JKT4IGDYPSV3OU73KIANRFAA)</t>
  </si>
  <si>
    <t>The answer correctly states the PASS steps but includes extra formatting and a source citation not present in the ground truth scope.</t>
  </si>
  <si>
    <t>Sat Jun 27 2026 18:47:57 GMT+0000 (Coordinated Universal Time)</t>
  </si>
  <si>
    <t>The primary assembly point during an evacuation is the **parking lot across the street** (or a **designated spot** shown on the evacuation map).[^1]
Sources:  
- ^1 [Document 10_ Workplace Safety and Emergency Procedures.txt](https://raw.githubusercontent.com/tobiaszwingmann/lil-n8n-eval/main/documents/Document%2010_%20Workplace%20Safety%20and%20Emergency%20Procedures.txt?token=AJJHWK7JHRLZKOX76ZYC5HDKIANRXAA)</t>
  </si>
  <si>
    <t>The answer includes the correct location (“parking lot across the street”) but adds extra qualifiers (designated spot/map) not present in the ground truth.</t>
  </si>
  <si>
    <t>Sat Jun 27 2026 18:48:06 GMT+0000 (Coordinated Universal Time)</t>
  </si>
  <si>
    <t>Available HR documents include: Document 1–10.  
The most relevant file is **Document 5: Compensation, Payroll, and Promotions**.  
Employees are paid on a **bi-weekly** schedule—**every two weeks**, typically **every other Friday**. [^1]
Sources:  
- ^1 [Document 5_ Compensation, Payroll, and Promotions.txt](https://raw.githubusercontent.com/tobiaszwingmann/lil-n8n-eval/main/documents/Document%205_%20Compensation,%20Payroll,%20and%20Promotions.txt?token=AJJHWK4LEO467YJVORO4LCLKIANSJAA)</t>
  </si>
  <si>
    <t>The output matches the ground truth exactly about the bi-weekly/every two weeks schedule and typically every other Friday.</t>
  </si>
  <si>
    <t>Sat Jun 27 2026 18:48:15 GMT+0000 (Coordinated Universal Time)</t>
  </si>
  <si>
    <t>To request **parental leave**, follow this process (per **Document 7: Leave and Time Off Policies**):[^1]
- **Tell HR as early as possible**.  
- Provide **at least 30 days’ notice** if feasible.  
- **Submit a leave request in the HR system**.  
- Ask your **manager to approve it online**.  
- For extended leave, **work with HR on additional forms**.  
- This may include **FMLA paperwork** (if applicable).  
- Discuss **paid vs unpaid weeks** and whether to use vacation.  
- Choose timing: **continuous** or **flexible within the first year**.
[^1]: Source: **Document 7_ Leave and Time Off Policies.txt** (Parental Leave + Requesting Time Off sections)
Sources:  
- ^1 [Document 7_ Leave and Time Off Policies.txt](https://raw.githubusercontent.com/tobiaszwingmann/lil-n8n-eval/main/documents/Document%207_%20Leave%20and%20Time%20Off%20Policies.txt?token=AJJHWK5N36C4BX3T3WDC6NDKIANS3AA)</t>
  </si>
  <si>
    <t>The answer omits the eligibility/pay details (12 weeks/6 paid primary, 2 paid secondary) and whether remaining time is unpaid vs vacation, which the ground truth includes.</t>
  </si>
  <si>
    <t>Sat Jun 27 2026 18:48:27 GMT+0000 (Coordinated Universal Time)</t>
  </si>
  <si>
    <t>Our performance reviews are **annual**, typically **end of calendar year**, with a **mid-year check-in**. [^1]
**Steps of the annual performance review:**
1. **Set goals and objectives** with your manager. [^1]
2. **Complete a self-assessment**. [^1]
3. **Manager evaluates** your performance vs goals/role expectations. [^1]
4. **360-degree feedback** may be collected (if applicable). [^1]
5. **Have a one-on-one review meeting** with your manager. [^1]
6. **Receive a rating and outcome** from the review. [^1]
[^1]: Document 8_ Performance Reviews and Career Development.txt
Sources:  
- ^1 [Document 8_ Performance Reviews and Career Development.txt](https://raw.githubusercontent.com/tobiaszwingmann/lil-n8n-eval/main/documents/Document%208_%20Performance%20Reviews%20and%20Career%20Development.txt?token=AJJHWK3VNIS3UDWXDEHHNYLKIANTRAA)</t>
  </si>
  <si>
    <t>The answer matches the core review flow and timing but omits that goals are set at the start of the year and leaves out the merit increases/bonuses impact while adding extra structure (numbered steps and link formatting) not in the reference.</t>
  </si>
  <si>
    <t>Sat Jun 27 2026 18:48:38 GMT+0000 (Coordinated Universal Time)</t>
  </si>
  <si>
    <t>## Eligibility to work remotely
- Remote work is available for roles that are eligible.¹  
- Eligibility depends on team needs.¹  
- If your role is eligible, you’ll confirm details with your manager.¹  
## Expectations for remote employees
- Have a proper workspace and reliable internet.¹  
- Be fully engaged during work hours (online and reachable).¹  
- Attend meetings and meet productivity expectations.¹  
- Follow your agreed schedule and be on time.¹  
- Notify your manager if you’re late, leaving early, or absent.¹  
Sources:  
- ^1 [Document 3_ General Employment Policies.txt](https://raw.githubusercontent.com/tobiaszwingmann/lil-n8n-eval/main/documents/Document%203_%20General%20Employment%20Policies.txt?token=AJJHWK4OKCQC6VJLBKGKEQLKIANUJAA)</t>
  </si>
  <si>
    <t>The answer accurately reflects the ground truth but adds extra specificity (e.g., schedule punctuality and notifying a manager about lateness/absence) that is not in the reference.</t>
  </si>
  <si>
    <t>Sat Jun 27 2026 18:48:54 GMT+0000 (Coordinated Universal Time)</t>
  </si>
  <si>
    <t>On your first day (Day 1), expect this: ￼[^1]
- You’ll receive a welcome email before day one.  
- Arrive at the front desk by 9:00 AM.  
- HR greets you for a brief orientation.  
- Complete remaining new-hire paperwork (tax, direct deposit).  
- Get your ID badge and an office tour.  
- Remote hires receive a virtual tour instead.  
- Receive equipment and help logging into systems.  
- Set up email, messaging, and required tools.  
- Review company policies at a high level.  
- Briefly go over benefits enrollment steps.  
- Your buddy/mentor helps you get started.  
- Lunch with your buddy is likely.  
Sources:  
- ^1 [Document 2_ Onboarding Process and New Hire Orientation.txt](https://api.github.com/repos/tobiaszwingmann/lil-n8n-eval/contents/documents/Document%202_%20Onboarding%20Process%20and%20New%20Hire%20Orientation.txt?ref=main)</t>
  </si>
  <si>
    <t>The output matches most ground-truth items but adds extra details (welcome email, remote tour, system setup specifics, buddy lunch likelihood) and omits the explicit mention that HR orientation occurs upon arriving by 9:00 AM for HR orientation.</t>
  </si>
  <si>
    <t>Sat Jun 27 2026 18:49:09 GMT+0000 (Coordinated Universal Time)</t>
  </si>
  <si>
    <t>For a birth mother (primary caregiver), **paid parental leave runs concurrently with short-term disability (STD)**.
- **STD**: typically covers **6–8 weeks** of medical recovery time.
- **Paid parental leave**: is **in addition to STD** and **runs concurrently** with it. Primary caregivers can receive **up to 12 weeks total** parental leave, including **6 weeks fully paid** (the remaining 6 weeks are unpaid or can use accrued vacation).[^1]
Sources:  
- ^1 [Document 7_ Leave and Time Off Policies.txt](https://raw.githubusercontent.com/tobiaszwingmann/lil-n8n-eval/main/documents/Document%207_%20Leave%20and%20Time%20Off%20Policies.txt?token=AJJHWKZZXJAF4IEMRBJTXPDKIANWHAA)</t>
  </si>
  <si>
    <t>The answer correctly states the overlap and pay (12 weeks total with 6 fully paid, STD 6–8 weeks concurrently), but it omits that STD is company-paid/replaces salary and adds minor unsupported detail about the remaining 6 weeks being unpaid or accrued vacation.</t>
  </si>
  <si>
    <t>Sat Jun 27 2026 18:49:21 GMT+0000 (Coordinated Universal Time)</t>
  </si>
  <si>
    <t>If you’re out sick longer than your paid sick leave, your income may be covered in these ways:
- **After paid sick leave is exhausted:** you can request an **unpaid leave of absence**.  
- **If you can’t work due to illness/injury:** **Short-Term Disability (STD)** may pay **a portion of your salary** (generally up to **13 weeks**).  
- **If the condition lasts longer:** **Long-Term Disability (LTD)** may provide income beyond STD.  
Sources: ^1 [Document 7_ Leave and Time Off Policies.txt](https://raw.githubusercontent.com/tobiaszwingmann/lil-n8n-eval/main/documents/Document%207_%20Leave%20and%20Time%20Off%20Policies.txt?token=AJJHWK74N6EWXHJ3OZRLB2TKIANW7AA), ^2 [Document 6_ Employee Benefits and Perks.txt](https://raw.githubusercontent.com/tobiaszwingmann/lil-n8n-eval/main/documents/Document%206_%20Employee%20Benefits%20and%20Perks.txt?token=AJJHWKYN5CIYGEY2ACFLWF3KIANW7AA)</t>
  </si>
  <si>
    <t>The answer omits the key detail that full-time employees receive 10 paid sick days per year, though the disability coverage information matches the reference.</t>
  </si>
  <si>
    <t>Sat Jun 27 2026 18:49:36 GMT+0000 (Coordinated Universal Time)</t>
  </si>
  <si>
    <t>For home-office remote work, the remote-work policy defines the *requirements*, and the IT/equipment policies define the *support and rules*.
- Your manager discusses remote-work details. ^1  
- Remote work requires a proper workspace. ^1  
- Remote work also requires reliable internet. ^1  
- If needed, the company provides equipment/stipend. ^1  
- IT covers how company equipment must be used. ^2  
**How IT equipment support fits in**
- The company provides job-required equipment (e.g., laptop/monitor/phone). ^2  
- Equipment is for business use first. ^2  
- If equipment is lost/stolen/damaged, report to IT immediately. ^2  
- Special home-office needs (e.g., printer): ask IT/HR. ^1 ^2  
- IT Help Desk supports technical issues and outages. ^2  
- After-hours emergencies follow the on-call procedure. ^2  
**Home-office security expectations**
- Use strong passwords; don’t share credentials. ^2  
- Remote access uses Multi-Factor Authentication (MFA). ^2  
- Store data only in approved company locations. ^2  
- Laptops are encrypted; don’t disable security settings. ^2  
- Personal devices may require MDM enrollment for work. ^2  
**Workstation setup (health/ergonomics)**
- Set up your workstation properly to prevent strain. ^3  
- Ergonomic assessments are available upon request. ^3  
Sources:  
- ^1 [Document 3_ General Employment Policies.txt](https://raw.githubusercontent.com/tobiaszwingmann/lil-n8n-eval/main/documents/Document%203_%20General%20Employment%20Policies.txt?token=AJJHWK36ORXRZRYRJF3OCM3KIANX3AA)  
- ^2 [Document 9_ IT Usage and Security Policies.txt](https://raw.githubusercontent.com/tobiaszwingmann/lil-n8n-eval/main/documents/Document%209_%20IT%20Usage%20and%20Security%20Policies.txt?token=AJJHWK6FQAL33IW2HZMM263KIANX3AA)  
- ^3 [Document 10_ Workplace Safety and Emergency Procedures.txt](https://raw.githubusercontent.com/tobiaszwingmann/lil-n8n-eval/main/documents/Document%2010_%20Workplace%20Safety%20and%20Emergency%20Procedures.txt?token=AJJHWK64TZSSVNL6LQ2TGYTKIANX3AA)</t>
  </si>
  <si>
    <t>The answer matches the ground truth’s remote/hybrid eligibility, workspace/internet requirements, company stipend/equipment including printer via IT/HR, and disallows personal laptops, but adds several extra IT/security/ergonomics details not present in the reference.</t>
  </si>
  <si>
    <t>Sat Jun 27 2026 18:49:55 GMT+0000 (Coordinated Universal Time)</t>
  </si>
  <si>
    <t>Available HR knowledge library files: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 Document 10_ Workplace Safety and Emergency Procedures.txt _x000D_
Most relevant documents: **Document 8** and **Document 5**.  
**Pay raises (merit increases):**  
- Annual performance review outcomes can influence merit pay increases. [^1]  
- The company sets an annual raise budget. [^2]  
- Raises are distributed based on performance ratings and factors. [^2]  
**Bonuses:**  
- Bonuses can be tied to performance goals reviewed annually. [^1]  
- Annual performance-based bonus: company targets + your goals met/exceeded. [^2]  
- Bonus criteria are typically communicated during performance review season. [^2]  
Sources:  
- ^1 [Document 8_ Performance Reviews and Career Development.txt](https://raw.githubusercontent.com/tobiaszwingmann/lil-n8n-eval/main/documents/Document%208_%20Performance%20Reviews%20and%20Career%20Development.txt?token=AJJHWK7NEA6VSKDNLCDXPNDKIANZBAA)  
- ^2 [Document 5_ Compensation, Payroll, and Promotions.txt](https://raw.githubusercontent.com/tobiaszwingmann/lil-n8n-eval/main/documents/Document%205_%20Compensation,%20Payroll,%20and%20Promotions.txt?token=AJJHWK543R366QFNEND3CY3KIANZBAA)</t>
  </si>
  <si>
    <t>The answer covers merit increases and performance-based bonuses but omits the year-end + mid-year check-in review timing, rating link, market benchmarks/market factors, and the promotions-to-higher-compensation relationship included in the ground truth.</t>
  </si>
  <si>
    <t>Sat Jun 27 2026 18:50:09 GMT+0000 (Coordinated Universal Time)</t>
  </si>
  <si>
    <t>The response does not match the ground-truth statement about the issue not being addressed in the handbook.</t>
  </si>
  <si>
    <t>Sat Jun 27 2026 18:50:21 GMT+0000 (Coordinated Universal Time)</t>
  </si>
  <si>
    <t>Our leave library doesn’t describe a separate “sabbatical leave” program in **Document 7: Leave and Time Off Policies**.[^1]
For extended time off not covered by the listed leave types, you can request an **unpaid leave of absence**:[^1]
- Approval is discretionary.
- Depends on business needs and your situation.
- Typically granted up to **30 days** for unpaid personal leaves.
- Some benefits may continue, case-by-case.
- You may need to pay your portion of premiums.
If you want, tell me whether you’re asking for a paid or unpaid sabbatical, and the approximate length, and I’ll point you to the closest match in the policy.[^1]
Sources:  
- ^1 [Document 7_ Leave and Time Off Policies.txt](https://raw.githubusercontent.com/tobiaszwingmann/lil-n8n-eval/main/documents/Document%207_%20Leave%20and%20Time%20Off%20Policies.txt?token=AJJHWK7E64JKNYNXSQVPESLKIAN2ZAA)</t>
  </si>
  <si>
    <t>The answer claims a sabbatical leave gap and mentions requesting unpaid leave of absence, but the ground truth only states that sabbatical isn’t addressed and lists the leave types covered.</t>
  </si>
  <si>
    <t>Sat Jun 27 2026 18:50:42 GMT+0000 (Coordinated Universal Time)</t>
  </si>
  <si>
    <t>Our dress code is **business-casual**.** [^1]**
- Collared shirts, blouses, slacks, or neat jeans. [^1]  
- Closed-toe shoes are generally fine. [^1]  
- Friday is casual: jeans and sneakers welcome. [^1]  
- Remote work can be more casual, but be presentable. [^1]  
- Some teams may require specific attire from your manager. [^1]  
Sources:  
- ^1 [Document 3_ General Employment Policies.txt](https://raw.githubusercontent.com/tobiaszwingmann/lil-n8n-eval/main/documents/Document%203_%20General%20Employment%20Policies.txt?token=AJJHWK5QKY6HI4ZSUJG6HY3KIAN4BAA)</t>
  </si>
  <si>
    <t>The output matches the ground truth dress code guidance but adds an extra point about managers/teams requiring specific attire that is not in the reference.</t>
  </si>
  <si>
    <t>Sat Jun 27 2026 18:50:54 GMT+0000 (Coordinated Universal Time)</t>
  </si>
  <si>
    <t>GPT 5.4 nano high</t>
  </si>
  <si>
    <t>Row Labels</t>
  </si>
  <si>
    <t>Grand Total</t>
  </si>
  <si>
    <t>Detected Sources</t>
  </si>
  <si>
    <t>Average of eval_source_count</t>
  </si>
  <si>
    <t>Average of eval_source_names</t>
  </si>
  <si>
    <t>Average of eval_simple_correctness</t>
  </si>
  <si>
    <t>Average of eval_adv_correctness_score</t>
  </si>
  <si>
    <t>Source Count</t>
  </si>
  <si>
    <t>Source Name Match</t>
  </si>
  <si>
    <t>Simple Correctness</t>
  </si>
  <si>
    <t>Advanced Correctness</t>
  </si>
  <si>
    <t>Date</t>
  </si>
  <si>
    <t>Id</t>
  </si>
  <si>
    <t>Filter</t>
  </si>
  <si>
    <t>Remote access and important applications require Multi-Factor Authentication.
This means a second login step is needed, such as:
- Authenticator app code
- Text message code
Use strong passwords and never share them.^1
Sources:  
- ^1 [Document 9_ IT Usage and Security Policies.txt](https://api.github.com/repos/tobiaszwingmann/lil-n8n-eval/contents/documents/Document%209_%20IT%20Usage%20and%20Security%20Policies.txt?ref=main)</t>
  </si>
  <si>
    <t>The answer adds details about MFA usage (codes, authenticator/text messages, strong passwords) that go beyond the ground truth, and it omits the required minimal reference content beyond stating MFA generally.</t>
  </si>
  <si>
    <t>{"id":"14274","finished":false,"mode":"manual","retryOf":null,"retrySuccessId":null,"status":"running","createdAt":"2026-06-27T20:52:21.921Z","startedAt":"2026-06-27T20:52:21.968Z","stoppedAt":null,"deletedAt":null,"workflowId":"N20Npzd6xHWX7JZe","waitTill":null,"storedAt":"fs","tracingContext":null,"deduplicationKey":null,"jsonSizeBytes":27397,"workflowVersionId":"a3d53e38-fcb7-497d-a027-d5aae62eb0bc"}</t>
  </si>
  <si>
    <t>Sat Jun 27 2026 20:52:33 GMT+0000 (Coordinated Universal Time)</t>
  </si>
  <si>
    <t>Use the PASS method:
- Pull the pin.
- Aim at the base.
- Squeeze the trigger.
- Sweep side to side.
Use it only if trained.  
The fire must be very small.^1
Sources:  
- ^1 [Document 10_ Workplace Safety and Emergency Procedures.txt](https://api.github.com/repos/tobiaszwingmann/lil-n8n-eval/contents/documents/Document%2010_%20Workplace%20Safety%20and%20Emergency%20Procedures.txt?ref=main)</t>
  </si>
  <si>
    <t>The answer includes the correct PASS steps verbatim, but adds extra unsafe-context details beyond the ground truth.</t>
  </si>
  <si>
    <t>Sat Jun 27 2026 20:52:42 GMT+0000 (Coordinated Universal Time)</t>
  </si>
  <si>
    <t>The primary emergency assembly point is the parking lot across the street. It may also be a designated spot noted on the evacuation map.^1
Sources: 
- ^1 [Document 10_ Workplace Safety and Emergency Procedures.txt](https://api.github.com/repos/tobiaszwingmann/lil-n8n-eval/contents/documents/Document%2010_%20Workplace%20Safety%20and%20Emergency%20Procedures.txt?ref=main)</t>
  </si>
  <si>
    <t>The answer correctly states the parking lot across the street but adds extra unneeded detail about an evacuation map and citation formatting.</t>
  </si>
  <si>
    <t>Sat Jun 27 2026 20:52:50 GMT+0000 (Coordinated Universal Time)</t>
  </si>
  <si>
    <t>Employees are paid bi-weekly.
This means every two weeks, typically every other Friday. Each paycheck covers the two-week pay period ending about one week before payday.^1
Sources:  
- ^1 [Document 5_ Compensation, Payroll, and Promotions.txt](https://api.github.com/repos/tobiaszwingmann/lil-n8n-eval/contents/documents/Document%205_%20Compensation,%20Payroll,%20and%20Promotions.txt?ref=main)</t>
  </si>
  <si>
    <t>The output correctly states the bi-weekly schedule and typical every-other-Friday timing but adds extra pay-period timing details not present in the ground truth.</t>
  </si>
  <si>
    <t>Sat Jun 27 2026 20:52:58 GMT+0000 (Coordinated Universal Time)</t>
  </si>
  <si>
    <t>To request parental leave:
- Inform HR as early as possible.
- Give at least 30 days’ notice, if feasible.
- Work with HR on required paperwork.
- Coordinate timing with your manager.
- Manager approval is needed for flexible arrangements.
- HR helps plan your absence and benefits.^1
Parental leave applies to birth, adoption, or foster placement. Primary caregivers may take up to 12 weeks. Secondary caregivers may take 2 paid weeks.^1
Sources:  
- ^1 [Document 7_ Leave and Time Off Policies.txt](https://api.github.com/repos/tobiaszwingmann/lil-n8n-eval/contents/documents/Document%207_%20Leave%20and%20Time%20Off%20Policies.txt?ref=main)</t>
  </si>
  <si>
    <t>The answer omits the fully-paid/unpaid breakdown for primary caregivers and the FMLA paperwork detail, while adding extra points (manager approval, paperwork planning, sources formatting) not present in the ground truth.</t>
  </si>
  <si>
    <t>Sat Jun 27 2026 20:53:07 GMT+0000 (Coordinated Universal Time)</t>
  </si>
  <si>
    <t>The annual performance review usually follows these steps:^1
- Set SMART goals with your manager.^1
- Complete your self-assessment.^1
- Manager evaluates goals and role expectations.^1
- 360-degree feedback may be gathered.^1
- Meet one-on-one with your manager.^1
- Discuss achievements, challenges, and future plans.^1
- Review rating and outcome.^1
- Use feedback for development planning.^1
Reviews happen annually, typically year-end.  
There is also a mid-year check-in.  
Outcomes may affect merit increases or bonuses.^1
Sources:  
- ^1 [Document 8_ Performance Reviews and Career Development.txt](https://api.github.com/repos/tobiaszwingmann/lil-n8n-eval/contents/documents/Document%208_%20Performance%20Reviews%20and%20Career%20Development.txt?ref=main)</t>
  </si>
  <si>
    <t>The answer matches all key elements (start-of-year goals, year-end review with mid-year check-in, self-assessment, manager evaluation, optional 360 feedback, one-on-one, and rating/outcome affecting merit/bonuses) but adds extra step phrasing like SMART goals and additional development-planning steps not stated in the reference.</t>
  </si>
  <si>
    <t>Sat Jun 27 2026 20:53:25 GMT+0000 (Coordinated Universal Time)</t>
  </si>
  <si>
    <t>Remote work eligibility depends on:
- Role suitability.
- Team needs.
- Manager discussion and approval.
- Department hybrid guidelines, if applicable. ^1
Remote employees are expected to:
- Have a proper workspace.
- Maintain reliable internet.
- Be available online.
- Attend meetings.
- Stay fully engaged.
- Meet normal productivity expectations. ^1
Sources:  
- ^1 [Document 3_ General Employment Policies.txt](https://api.github.com/repos/tobiaszwingmann/lil-n8n-eval/contents/documents/Document%203_%20General%20Employment%20Policies.txt?ref=main)</t>
  </si>
  <si>
    <t>The answer matches all required points from the ground truth but adds extra items (role suitability/team needs and explicit manager approval/hybrid guidelines phrasing) not stated in the reference.</t>
  </si>
  <si>
    <t>Sat Jun 27 2026 20:53:41 GMT+0000 (Coordinated Universal Time)</t>
  </si>
  <si>
    <t>On a new hire’s first day, they should expect:
- Arrive at the front desk by 9:00 AM.
- Meet HR for orientation.
- Complete remaining new hire paperwork.
- Receive ID badge and office tour.
- Get equipment and system login help.
- Review key company policies.
- Learn benefits enrollment basics.
- Ask initial questions.
- Meet a buddy or mentor.
- Likely have lunch with their buddy.^1
Sources:  
- ^1 [Document 2_ Onboarding Process and New Hire Orientation.txt](https://api.github.com/repos/tobiaszwingmann/lil-n8n-eval/contents/documents/Document%202_%20Onboarding%20Process%20and%20New%20Hire%20Orientation.txt?ref=main)</t>
  </si>
  <si>
    <t>The output matches all required onboarding items but adds a few extra details (e.g., reviewing policies/benefits as separate steps and ‘ask initial questions’) beyond the reference.</t>
  </si>
  <si>
    <t>Sat Jun 27 2026 20:53:52 GMT+0000 (Coordinated Universal Time)</t>
  </si>
  <si>
    <t>For a birth mother, parental leave is up to 12 weeks. The company fully pays 6 weeks. The remaining 6 weeks may be unpaid, or covered with accrued vacation. Short-term disability typically covers 6–8 weeks of medical recovery and runs concurrently with parental leave.^1
Short-term disability pays a portion of salary when you cannot work due to illness or injury. It generally lasts up to 13 weeks.^2
Sources:  
- ^1 [Document 7_ Leave and Time Off Policies.txt](https://api.github.com/repos/tobiaszwingmann/lil-n8n-eval/contents/documents/Document%207_%20Leave%20and%20Time%20Off%20Policies.txt?ref=main)  
- ^2 [Document 6_ Employee Benefits and Perks.txt](https://api.github.com/repos/tobiaszwingmann/lil-n8n-eval/contents/documents/Document%206_%20Employee%20Benefits%20and%20Perks.txt?ref=main)</t>
  </si>
  <si>
    <t>The answer mostly matches the ground truth on leave/STD details but misses the coordination/paperwork with HR and adds some redundant or slightly broadened phrasing about STD duration/pay beyond the cited overlap context.</t>
  </si>
  <si>
    <t>Sat Jun 27 2026 20:54:09 GMT+0000 (Coordinated Universal Time)</t>
  </si>
  <si>
    <t>If you exhaust paid sick leave, **Short-Term Disability (STD)** may cover part of your income if illness or injury prevents you from working. STD generally pays a portion of salary for up to **13 weeks**. If the condition continues beyond that, **Long-Term Disability (LTD)** may provide income support.^1
You may also request an **unpaid leave of absence** if paid leave is exhausted. Approval depends on company discretion and business needs.^2
Sources:  
- ^1 [Document 6_ Employee Benefits and Perks.txt](https://api.github.com/repos/tobiaszwingmann/lil-n8n-eval/contents/documents/Document%206_%20Employee%20Benefits%20and%20Perks.txt?ref=main)  
- ^2 [Document 7_ Leave and Time Off Policies.txt](https://api.github.com/repos/tobiaszwingmann/lil-n8n-eval/contents/documents/Document%207_%20Leave%20and%20Time%20Off%20Policies.txt?ref=main)</t>
  </si>
  <si>
    <t>The answer correctly describes STD/LTD coverage up to about 13 weeks but omits the specific detail about 10 paid sick days per year and adds unrelated information about unpaid leave policies.</t>
  </si>
  <si>
    <t>Sat Jun 27 2026 20:54:27 GMT+0000 (Coordinated Universal Time)</t>
  </si>
  <si>
    <t>The policies work together this way: remote work sets the home-office expectations, while IT support provides and protects the tools needed to work there. You need a proper workspace, reliable internet, and manager-approved remote arrangements. You must stay available, attend meetings, and meet normal productivity expectations. ^1
For equipment, the company may provide a stipend or equipment for your home setup. IT can provide items like laptops, monitors, phones, or other devices. For special needs, such as a printer, contact IT/HR about reimbursement or peripherals. ^1 ^2
You must use company equipment mainly for business. Do not install unauthorized software or hardware. Report lost, stolen, damaged, or malfunctioning equipment to IT immediately. ^2
Remote work also requires security compliance. Use MFA for remote access, store data only in approved locations, and follow BYOD rules for personal phones or tablets. Personal laptops are generally not allowed unless authorized. ^2
Sources:  
- ^1 [Document 3_ General Employment Policies.txt](https://api.github.com/repos/tobiaszwingmann/lil-n8n-eval/contents/documents/Document%203_%20General%20Employment%20Policies.txt?ref=main)  
- ^2 [Document 9_ IT Usage and Security Policies.txt](https://api.github.com/repos/tobiaszwingmann/lil-n8n-eval/contents/documents/Document%209_%20IT%20Usage%20and%20Security%20Policies.txt?ref=main)</t>
  </si>
  <si>
    <t>The answer matches the ground truth about remote eligibility, workspace/internet, and company-provided equipment/peripherals, but adds extra policy details (availability/meetings, productivity expectations, equipment usage rules, MFA/security/BYOD) not present in the reference.</t>
  </si>
  <si>
    <t>Sat Jun 27 2026 20:54:49 GMT+0000 (Coordinated Universal Time)</t>
  </si>
  <si>
    <t>Annual reviews can affect pay raises and bonuses.
- Reviews may influence merit increases.
- Reviews may influence bonuses.
- Raises use performance ratings.
- Raises also use market benchmarks.
- Company raise budgets also apply.
- Bonuses are not guaranteed.
- Bonuses depend on company profitability.
- Bonuses depend on personal performance.
- Criteria are usually shared during reviews.^1 ^2
Sources:  
- ^1 [Document 8_ Performance Reviews and Career Development.txt](https://api.github.com/repos/tobiaszwingmann/lil-n8n-eval/contents/documents/Document%208_%20Performance%20Reviews%20and%20Career%20Development.txt?ref=main)  
- ^2 [Document 5_ Compensation, Payroll, and Promotions.txt](https://api.github.com/repos/tobiaszwingmann/lil-n8n-eval/contents/documents/Document%205_%20Compensation,%20Payroll,%20and%20Promotions.txt?ref=main)</t>
  </si>
  <si>
    <t>The answer correctly links annual performance reviews to merit-based raises and bonuses, but omits key details about mid-year check-ins, the need for both company targets and individual goals for bonuses, and promotions, while adding some extra generalities like bonuses not being guaranteed.</t>
  </si>
  <si>
    <t>Sat Jun 27 2026 20:55:00 GMT+0000 (Coordinated Universal Time)</t>
  </si>
  <si>
    <t>The response does not match the ground truth claim that the issue is not addressed in the handbook, and it adds an HR contact suggestion beyond the reference.</t>
  </si>
  <si>
    <t>Sat Jun 27 2026 20:55:11 GMT+0000 (Coordinated Universal Time)</t>
  </si>
  <si>
    <t>The response refuses without providing the specific handbook/leave-policy information stated in the ground truth.</t>
  </si>
  <si>
    <t>Sat Jun 27 2026 20:55:23 GMT+0000 (Coordinated Universal Time)</t>
  </si>
  <si>
    <t>Our dress code is business-casual.^1
- Dress professionally and comfortably.
- Collared shirts and blouses are fine.
- Slacks or neat jeans are fine.
- Closed-toe shoes are generally fine.
- Fridays allow jeans and sneakers.
- Remote work can be more casual.
- Be presentable for video meetings.
- Some teams may have specific requirements.
Sources:  
- ^1 [Document 3_ General Employment Policies.txt](https://api.github.com/repos/tobiaszwingmann/lil-n8n-eval/contents/documents/Document%203_%20General%20Employment%20Policies.txt?ref=main)</t>
  </si>
  <si>
    <t>The answer matches all key policy points from the ground truth but adds extra non-specified details like general comfort guidance, remote-work wording, and team-specific requirements.</t>
  </si>
  <si>
    <t>Sat Jun 27 2026 20:55:33 GMT+0000 (Coordinated Universal Time)</t>
  </si>
  <si>
    <t>GPT 5.5 High</t>
  </si>
  <si>
    <t>Remote access and important applications require Multi-Factor Authentication.
This means a second login step is needed.  
Examples include:
- Authenticator app code
- Text message code
Source:  
- ^1 [Document 9_ IT Usage and Security Policies.txt](https://api.github.com/repos/tobiaszwingmann/lil-n8n-eval/contents/documents/Document%209_%20IT%20Usage%20and%20Security%20Policies.txt?ref=main)</t>
  </si>
  <si>
    <t>The output correctly identifies MFA but adds extra details (second login step and example methods) beyond the ground truth scope.</t>
  </si>
  <si>
    <t>{"id":"14275","finished":false,"mode":"manual","retryOf":null,"retrySuccessId":null,"status":"running","createdAt":"2026-06-27T21:02:10.688Z","startedAt":"2026-06-27T21:02:10.723Z","stoppedAt":null,"deletedAt":null,"workflowId":"N20Npzd6xHWX7JZe","waitTill":null,"storedAt":"fs","tracingContext":null,"deduplicationKey":null,"jsonSizeBytes":27392,"workflowVersionId":"ae613d2a-937f-43f9-98c2-484f2e6fb3f6"}</t>
  </si>
  <si>
    <t>Sat Jun 27 2026 21:02:20 GMT+0000 (Coordinated Universal Time)</t>
  </si>
  <si>
    <t>Use the PASS method:
- Pull the pin.
- Aim at base.
- Squeeze trigger.
- Sweep side to side.
Use a fire extinguisher only if trained.  
The fire must be very small.^1
Sources:  
- ^1 [Document 10_ Workplace Safety and Emergency Procedures.txt](https://api.github.com/repos/tobiaszwingmann/lil-n8n-eval/contents/documents/Document%2010_%20Workplace%20Safety%20and%20Emergency%20Procedures.txt?ref=main)</t>
  </si>
  <si>
    <t>The answer correctly states the PASS method sequence but adds extra, out-of-scope guidance not present in the ground truth.</t>
  </si>
  <si>
    <t>Sat Jun 27 2026 21:02:29 GMT+0000 (Coordinated Universal Time)</t>
  </si>
  <si>
    <t>The primary emergency assembly point is the parking lot across the street. It may also be a designated spot noted on the evacuation map.^1
Sources:  
- ^1 [Document 10_ Workplace Safety and Emergency Procedures.txt](https://api.github.com/repos/tobiaszwingmann/lil-n8n-eval/contents/documents/Document%2010_%20Workplace%20Safety%20and%20Emergency%20Procedures.txt?ref=main)</t>
  </si>
  <si>
    <t>The answer matches the ground truth but adds an extra caveat about an evacuation map spot with a source citation not required by the reference.</t>
  </si>
  <si>
    <t>Sat Jun 27 2026 21:02:37 GMT+0000 (Coordinated Universal Time)</t>
  </si>
  <si>
    <t>Employees are paid bi-weekly.
You receive a paycheck every two weeks.  
This is typically every other Friday. ^1
Sources:  
- ^1 [Document 5_ Compensation, Payroll, and Promotions.txt](https://api.github.com/repos/tobiaszwingmann/lil-n8n-eval/contents/documents/Document%205_%20Compensation,%20Payroll,%20and%20Promotions.txt?ref=main)</t>
  </si>
  <si>
    <t>The answer correctly states that employees are paid every two weeks (bi-weekly), typically every other Friday, matching the ground truth without adding anything extra.</t>
  </si>
  <si>
    <t>Sat Jun 27 2026 21:02:45 GMT+0000 (Coordinated Universal Time)</t>
  </si>
  <si>
    <t>To request parental leave:
- Inform HR as early as possible.
- Give at least 30 days’ notice, if feasible.
- HR will coordinate paperwork.
- HR will help plan your absence.
- Work with HR on extra forms.
- Extra forms may apply if FMLA applies.
- Flexible leave needs manager approval.^1
Parental leave applies to birth, adoption, or foster placement.^1
Sources:  
- ^1 [Document 7_ Leave and Time Off Policies.txt](https://api.github.com/repos/tobiaszwingmann/lil-n8n-eval/contents/documents/Document%207_%20Leave%20and%20Time%20Off%20Policies.txt?ref=main)</t>
  </si>
  <si>
    <t>The output includes some correct HR-notice guidance but omits the leave duration/payment details for primary vs secondary caregivers from the ground truth and adds extra items (e.g., manager approval for flexible leave, foster placement wording) not stated in the reference.</t>
  </si>
  <si>
    <t>Sat Jun 27 2026 21:02:55 GMT+0000 (Coordinated Universal Time)</t>
  </si>
  <si>
    <t>The annual performance review includes these steps:
1. Set goals with your manager.
2. Complete your self-assessment.
3. Manager evaluates your performance.
4. 360-degree feedback may be gathered.
5. Meet one-on-one with your manager.
6. Discuss feedback and career goals.
7. Receive rating and review outcome.
8. Plan future growth and development.^1
Reviews happen annually, typically year-end.  
There is also a mid-year check-in.^1
Sources:  
- ^1 [Document 8_ Performance Reviews and Career Development.txt](https://api.github.com/repos/tobiaszwingmann/lil-n8n-eval/contents/documents/Document%208_%20Performance%20Reviews%20and%20Career%20Development.txt?ref=main)</t>
  </si>
  <si>
    <t>The answer matches most of the listed review components but omits that goals are set at the start of the year and the rating/outcome can influence merit increases or bonuses, while adding extra step detail beyond what the reference states.</t>
  </si>
  <si>
    <t>Sat Jun 27 2026 21:03:04 GMT+0000 (Coordinated Universal Time)</t>
  </si>
  <si>
    <t>Employees may work remotely if their position is eligible. Many roles allow part-week or full-time remote work. Eligibility depends on team needs. Details are discussed with the manager.^1
Remote employees are expected to:
- Maintain a proper workspace.
- Have reliable internet.
- Stay available online.
- Attend required meetings.
- Meet productivity expectations.
- Follow department hybrid guidelines.
- Use company equipment responsibly.
- Follow IT security requirements.^1 ^2
Sources:  
- ^1 [Document 3_ General Employment Policies.txt](https://api.github.com/repos/tobiaszwingmann/lil-n8n-eval/contents/documents/Document%203_%20General%20Employment%20Policies.txt?ref=main)  
- ^2 [Document 9_ IT Usage and Security Policies.txt](https://api.github.com/repos/tobiaszwingmann/lil-n8n-eval/contents/documents/Document%209_%20IT%20Usage%20and%20Security%20Policies.txt?ref=main)</t>
  </si>
  <si>
    <t>The answer matches all key requirements from the ground truth but adds extra expectations (e.g., hybrid guidelines, company equipment, IT security) not mentioned there.</t>
  </si>
  <si>
    <t>Sat Jun 27 2026 21:03:18 GMT+0000 (Coordinated Universal Time)</t>
  </si>
  <si>
    <t>On the first day, a new hire should expect:
- Arrive at the front desk by 9:00 AM.
- Meet HR for orientation.
- Complete remaining new hire paperwork.
- Receive an ID badge and office tour.
- Get equipment and system login help.
- Review company policies at a high level.
- Learn about benefits enrollment.
- Ask initial questions.
- Meet a buddy or mentor.
- Likely have a welcome lunch.^1
Sources:  
- ^1 [Document 2_ Onboarding Process and New Hire Orientation.txt](https://api.github.com/repos/tobiaszwingmann/lil-n8n-eval/contents/documents/Document%202_%20Onboarding%20Process%20and%20New%20Hire%20Orientation.txt?ref=main)</t>
  </si>
  <si>
    <t>The answer matches all required onboarding first-day elements but adds a few extra items (e.g., “Ask initial questions,” “Likely,” and “Meet HR for orientation” wording) beyond the ground truth.</t>
  </si>
  <si>
    <t>Sat Jun 27 2026 21:03:30 GMT+0000 (Coordinated Universal Time)</t>
  </si>
  <si>
    <t>For a birth mother, paid parental leave is separate from short-term disability. STD typically covers 6–8 weeks of medical recovery time and runs concurrently. Primary caregivers may receive up to 12 weeks of parental leave, with 6 weeks fully paid. The remaining 6 weeks may be unpaid or covered with accrued vacation.^1
Short-term disability pays part of salary when an employee cannot work due to illness or injury, generally up to 13 weeks.^2
Sources:  
- ^1 [Document 7_ Leave and Time Off Policies.txt](https://api.github.com/repos/tobiaszwingmann/lil-n8n-eval/contents/documents/Document%207_%20Leave%20and%20Time%20Off%20Policies.txt?ref=main)  
- ^2 [Document 6_ Employee Benefits and Perks.txt](https://api.github.com/repos/tobiaszwingmann/lil-n8n-eval/contents/documents/Document%206_%20Employee%20Benefits%20and%20Perks.txt?ref=main)</t>
  </si>
  <si>
    <t>The answer matches the reference facts about parental leave and STD but omits the reference’s instruction to coordinate overlap and paperwork with HR.</t>
  </si>
  <si>
    <t>Sat Jun 27 2026 21:03:42 GMT+0000 (Coordinated Universal Time)</t>
  </si>
  <si>
    <t>If your paid sick days run out, disability insurance may cover income.
- Short-Term Disability pays part of salary.
- It applies for illness or injury.
- It generally lasts up to 13 weeks.
- Long-Term Disability may continue after that.
- Unpaid leave may also be requested. ^1 ^2
Sources:  
- ^1 [Document 6_ Employee Benefits and Perks.txt](https://api.github.com/repos/tobiaszwingmann/lil-n8n-eval/contents/documents/Document%206_%20Employee%20Benefits%20and%20Perks.txt?ref=main)  
- ^2 [Document 7_ Leave and Time Off Policies.txt](https://api.github.com/repos/tobiaszwingmann/lil-n8n-eval/contents/documents/Document%207_%20Leave%20and%20Time%20Off%20Policies.txt?ref=main)</t>
  </si>
  <si>
    <t>The answer gives an accurate but incomplete summary, omitting the key fact about 10 paid sick days per year and that STD is company-paid to replace a portion of salary for a short period.</t>
  </si>
  <si>
    <t>Sat Jun 27 2026 21:03:52 GMT+0000 (Coordinated Universal Time)</t>
  </si>
  <si>
    <t>Remote work requires an eligible role, manager discussion, a proper workspace, and reliable internet. Remote employees must stay available online, attend meetings, and meet normal productivity expectations.^1
IT support complements this by providing needed equipment, such as laptops, monitors, phones, or other devices. For special home-office needs, like printers or peripherals, employees should contact IT/HR about reimbursement or additional equipment.^2
You must use company equipment mainly for business. Keep devices secure, avoid unauthorized software, and report lost, stolen, damaged, or malfunctioning equipment immediately.^1 ^2
Sources:  
- ^1 [Document 3_ General Employment Policies.txt](https://api.github.com/repos/tobiaszwingmann/lil-n8n-eval/contents/documents/Document%203_%20General%20Employment%20Policies.txt?ref=main)  
- ^2 [Document 9_ IT Usage and Security Policies.txt](https://api.github.com/repos/tobiaszwingmann/lil-n8n-eval/contents/documents/Document%209_%20IT%20Usage%20and%20Security%20Policies.txt?ref=main)</t>
  </si>
  <si>
    <t>The output covers remote-work requirements and IT support but omits key points about eligibility being broad (remote or hybrid), the stipend detail, and the specific prohibition of personal laptops, while adding some general compliance guidance not present in the ground truth.</t>
  </si>
  <si>
    <t>Sat Jun 27 2026 21:04:06 GMT+0000 (Coordinated Universal Time)</t>
  </si>
  <si>
    <t>Annual reviews can affect raises and bonuses.
- Review outcomes may influence merit increases.
- Bonuses depend on company targets.
- Bonuses also depend on personal performance.
- Raises use performance ratings and benchmarks.
- Raise budgets are set yearly.
- Bonuses are not guaranteed. ^1 ^2
Sources:  
- ^1 [Document 8_ Performance Reviews and Career Development.txt](https://api.github.com/repos/tobiaszwingmann/lil-n8n-eval/contents/documents/Document%208_%20Performance%20Reviews%20and%20Career%20Development.txt?ref=main)  
- ^2 [Document 5_ Compensation, Payroll, and Promotions.txt](https://api.github.com/repos/tobiaszwingmann/lil-n8n-eval/contents/documents/Document%205_%20Compensation,%20Payroll,%20and%20Promotions.txt?ref=main)</t>
  </si>
  <si>
    <t>The answer correctly captures that annual reviews/rating drive merit increases and bonuses based on company targets and individual performance, but it omits the mid-year check-in detail, rating emphasis, the annual raise budget distribution by rating and market benchmarks, and the promotions/higher compensation linkage.</t>
  </si>
  <si>
    <t>Sat Jun 27 2026 21:04:16 GMT+0000 (Coordinated Universal Time)</t>
  </si>
  <si>
    <t>No. Pet insurance is not listed as an employee benefit. Listed benefits include health, life, disability, wellness, retirement, PTO, and other perks.^1
Sources:  
- ^1 [Document 6_ Employee Benefits and Perks.txt](https://api.github.com/repos/tobiaszwingmann/lil-n8n-eval/contents/documents/Document%206_%20Employee%20Benefits%20and%20Perks.txt?ref=main)</t>
  </si>
  <si>
    <t>The answer asserts that pet insurance is not listed and cites sources, but the ground truth says the handbook does not address this anywhere.</t>
  </si>
  <si>
    <t>Sat Jun 27 2026 21:04:25 GMT+0000 (Coordinated Universal Time)</t>
  </si>
  <si>
    <t>The response refuses to answer but does not provide the handbook-based leave policy scope stated in the ground truth.</t>
  </si>
  <si>
    <t>Sat Jun 27 2026 21:04:34 GMT+0000 (Coordinated Universal Time)</t>
  </si>
  <si>
    <t>Our dress code is business-casual.^1
- Dress professionally and comfortably.
- Collared shirts and blouses are fine.
- Slacks or neat jeans are fine.
- Closed-toe shoes are generally fine.
- Fridays allow jeans and sneakers.
- Remote work may be more casual.
- Be presentable for video meetings.
- Some teams may have specific requirements.
Sources:  
- ^1 [Document 3_ General Employment Policies.txt](https://api.github.com/repos/tobiaszwingmann/lil-n8n-eval/contents/documents/Document%203_%20General%20Employment%20Policies.txt?ref=main)</t>
  </si>
  <si>
    <t>The answer matches the ground truth dress code details but adds extra non-referenced items like general guidance phrasing, specific team requirements, and “dress professionally and comfortably”/remote-work may be more casual phrased differently.</t>
  </si>
  <si>
    <t>Sat Jun 27 2026 21:04:42 GMT+0000 (Coordinated Universal Time)</t>
  </si>
  <si>
    <t>The document "Document 9_ IT Usage and Security Policies.txt" is most relevant to your question.
I need to review this document to answer your question. Please allow me a moment.
I’m sorry, I can’t answer that. Please contact HR.</t>
  </si>
  <si>
    <t>The output does not provide the requested ground-truth topic (Multi-Factor Authentication) and instead gives unrelated text about documents and HR.</t>
  </si>
  <si>
    <t>{"id":"14301","finished":false,"mode":"manual","retryOf":null,"retrySuccessId":null,"status":"running","createdAt":"2026-06-27T22:26:32.588Z","startedAt":"2026-06-27T22:26:32.631Z","stoppedAt":null,"deletedAt":null,"workflowId":"SO8s4sxN5Kwa4Xxd","waitTill":null,"storedAt":"fs","tracingContext":null,"deduplicationKey":null,"jsonSizeBytes":32531,"workflowVersionId":"9422bc26-a3d8-437a-8fbc-c73b020251e9"}</t>
  </si>
  <si>
    <t>Sat Jun 27 2026 22:26:38 GMT+0000 (Coordinated Universal Time)</t>
  </si>
  <si>
    <t>To operate a fire extinguisher, remember the PASS method: Pull the pin, Aim at the base of the fire, Squeeze the trigger, and Sweep side to side. Only use an extinguisher if you have been trained and the fire is very small.
Source:
- ^1 [Document 10_ Workplace Safety and Emergency Procedures.txt](https://raw.githubusercontent.com/tobiaszwingmann/lil-n8n-eval/main/documents/Document%2010_%20Workplace%20Safety%20and%20Emergency%20Procedures.txt?token=AJJHWK7NWKXEZUIFIWIENC3KIBHFXAA)</t>
  </si>
  <si>
    <t>The answer correctly includes the PASS method steps but adds extra constraints not present in the ground truth.</t>
  </si>
  <si>
    <t>Sat Jun 27 2026 22:26:44 GMT+0000 (Coordinated Universal Time)</t>
  </si>
  <si>
    <t>The primary emergency assembly point is the parking lot across the street.</t>
  </si>
  <si>
    <t>The answer matches the referenced location but adds extra wording not present in the ground truth.</t>
  </si>
  <si>
    <t>Sat Jun 27 2026 22:26:48 GMT+0000 (Coordinated Universal Time)</t>
  </si>
  <si>
    <t>Employees are paid every two weeks. This is referred to as a bi-weekly payroll schedule. Paychecks are typically issued every other Friday.</t>
  </si>
  <si>
    <t>The output matches the ground truth content and does not add or omit anything relevant.</t>
  </si>
  <si>
    <t>Sat Jun 27 2026 22:26:55 GMT+0000 (Coordinated Universal Time)</t>
  </si>
  <si>
    <t>To request parental leave, please inform HR as early as possible, ideally with at least 30 days' notice. This allows for coordination of paperwork and planning for your absence. Primary caregivers are eligible for up to 12 weeks of leave, with the company providing 6 weeks fully paid. Secondary caregivers are eligible for 2 weeks of paid parental leave. This leave can be taken continuously or flexibly within the first year with manager approval. Parental leave complies with FMLA, which provides up to 12 weeks of job-protected leave for eligible employees.
Sources:
- ^1 [Document 7_ Leave and Time Off Policies.txt](https://raw.githubusercontent.com/tobiaszwingmann/lil-n8n-eval/main/documents/Document%207_%20Leave%20and%20Time%20Off%20Policies.txt?token=AJJHWK3MKMR6G37LGNHGYB3KIBHGZAA)</t>
  </si>
  <si>
    <t>The response is accurate overall but omits key details about the remaining 6 weeks being unpaid/accrued vacation coverage and adds extra specifics (flexible timing within first year, fully job-protected compliance phrasing) beyond the ground truth.</t>
  </si>
  <si>
    <t>Sat Jun 27 2026 22:27:03 GMT+0000 (Coordinated Universal Time)</t>
  </si>
  <si>
    <t>The following files are available: 
- .DS_Store
- Document 10_ Workplace Safety and Emergency Procedures.txt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I cannot find information on the steps of the annual performance review process.</t>
  </si>
  <si>
    <t>The answer claims it cannot find the steps, omitting the specified annual review steps and adding unnecessary file-list details.</t>
  </si>
  <si>
    <t>Sat Jun 27 2026 22:27:07 GMT+0000 (Coordinated Universal Time)</t>
  </si>
  <si>
    <t>The following files are available:
* Document 10_ Workplace Safety and Emergency Procedures.txt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I cannot find information about remote work eligibility or expectations in the available documents. Please contact HR for further assistance.</t>
  </si>
  <si>
    <t>The answer incorrectly claims no remote work information exists, omitting the ground-truth remote/hybrid eligibility and requirements, while not adding unrelated details.</t>
  </si>
  <si>
    <t>Sat Jun 27 2026 22:27:13 GMT+0000 (Coordinated Universal Time)</t>
  </si>
  <si>
    <t>On your first day, you can expect to complete new hire paperwork, receive your company ID and equipment, and get a tour. You will also have an introductory meeting with HR, and be assigned a buddy. During your first week, you will have team introductions, training sessions, and discuss your initial goals with your manager.
Sources:
- ^1 [Document 2_ Onboarding Process and New Hire Orientation.txt](https://raw.githubusercontent.com/tobiaszwingmann/lil-n8n-eval/main/documents/Document%202_%20Onboarding%20Process%20and%20New%20Hire%20Orientation.txt?token=AJJHWK4CHQWHFYSYYWWCN5DKIBHH3AA)</t>
  </si>
  <si>
    <t>The answer omits key specifics from the ground truth such as the 9:00 AM front desk arrival, tax forms/direct deposit, systems login, policy/benefits review, and the welcome lunch detail.</t>
  </si>
  <si>
    <t>Sat Jun 27 2026 22:27:20 GMT+0000 (Coordinated Universal Time)</t>
  </si>
  <si>
    <t>For a birth mother, paid parental leave and short-term disability (STD) run concurrently. STD typically covers the 6-8 week medical recovery period following childbirth. The company provides 6 weeks of paid parental leave, which can be taken in addition to STD. The remaining 6 weeks of the 12-week parental leave can be taken as unpaid leave or by using accrued vacation time.
Sources:
- ^1 [Document 7_ Leave and Time Off Policies.txt](https://raw.githubusercontent.com/tobiaszwingmann/lil-n8n-eval/main/documents/Document%207_%20Leave%20and%20Time%20Off%20Policies.txt?token=AJJHWK4NRNKYVX2SVM3SC5LKIBHILAA)</t>
  </si>
  <si>
    <t>The answer correctly describes the concurrent STD and the 6 paid weeks, but it omits that STD is company-paid replacing salary (up to 13 weeks) and the guidance to coordinate with HR/paperwork.</t>
  </si>
  <si>
    <t>Sat Jun 27 2026 22:27:26 GMT+0000 (Coordinated Universal Time)</t>
  </si>
  <si>
    <t>The relevant file is "Document 7_ Leave and Time Off Policies.txt". This document outlines policies regarding sick leave and other types of leave. It may contain information about income coverage for extended absences. Would you like me to review this document for details on income protection beyond paid sick days?</t>
  </si>
  <si>
    <t>The answer gives a generic document description and only loosely hints at income coverage, but it omits the specific sick-day amount and disability timeline details from the ground truth while adding unnecessary document-review phrasing.</t>
  </si>
  <si>
    <t>Sat Jun 27 2026 22:27:31 GMT+0000 (Coordinated Universal Time)</t>
  </si>
  <si>
    <t>The files available are:
* Document 10_ Workplace Safety and Emergency Procedures.txt
* Document 1_ Welcome and Company Overview.txt
* Document 2_ Onboarding Process and New Hire Orientation.txt
* Document 3_ General Employment Policies.txt
* Document 4_ Code of Conduct and Ethics.txt
* Document 5_ Compensation, Payroll, and Promotions.txt
* Document 6_ Employee Benefits and Perks.txt
* Document 7_ Leave and Time Off Policies.txt
* Document 8_ Performance Reviews and Career Development.txt
* Document 9_ IT Usage and Security Policies.txt
The most relevant file for your question is "Document 9_ IT Usage and Security Policies.txt".
I cannot answer your question with the available information.</t>
  </si>
  <si>
    <t>The response does not provide any of the ground-truth details about remote/hybrid eligibility, workspace/internet requirements, or IT/HR equipment and reimbursement policies.</t>
  </si>
  <si>
    <t>Sat Jun 27 2026 22:27:36 GMT+0000 (Coordinated Universal Time)</t>
  </si>
  <si>
    <t>I cannot answer this question as the available documents do not contain this information. Please contact HR.</t>
  </si>
  <si>
    <t>The response does not provide the performance review, rating/compensation, bonus, or promotion details stated in the reference and is instead a refusal plus an unrelated HR contact instruction.</t>
  </si>
  <si>
    <t>Sat Jun 27 2026 22:27:41 GMT+0000 (Coordinated Universal Time)</t>
  </si>
  <si>
    <t>I am sorry, I cannot answer that. Please contact HR.</t>
  </si>
  <si>
    <t>The response does not match the ground truth, which states the topic is not addressed in the handbook, and it adds an unrelated HR suggestion.</t>
  </si>
  <si>
    <t>Sat Jun 27 2026 22:27:46 GMT+0000 (Coordinated Universal Time)</t>
  </si>
  <si>
    <t>The most relevant file is "Document 7_ Leave and Time Off Policies.txt". What specific information are you looking for about the sabbatical leave policy?</t>
  </si>
  <si>
    <t>The answer asks for clarification and does not state that sabbatical leave is not addressed and that only certain leave types are covered.</t>
  </si>
  <si>
    <t>Sat Jun 27 2026 22:27:51 GMT+0000 (Coordinated Universal Time)</t>
  </si>
  <si>
    <t>The dress code policy is not available in the HR knowledge library. Please contact HR for more information.</t>
  </si>
  <si>
    <t>The answer fails to provide the specific dress code details from the ground truth and instead claims the policy is unavailable.</t>
  </si>
  <si>
    <t>Sat Jun 27 2026 22:27:55 GMT+0000 (Coordinated Universal Time)</t>
  </si>
  <si>
    <t>Gemini 2.5 Flash Lite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</si>
</sst>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409]m/d/yy\ h:mm\ AM/PM;@"/>
  </numFmts>
  <fonts count="9" x14ac:knownFonts="1">
    <font>
      <sz val="12"/>
      <color theme="1"/>
      <name val="Calibri"/>
    </font>
    <font>
      <b/>
      <sz val="12"/>
      <color rgb="FFFFFFFF"/>
      <name val="Calibri"/>
      <family val="2"/>
    </font>
    <font>
      <b/>
      <sz val="18"/>
      <color rgb="FFFFFFFF"/>
      <name val="Calibri"/>
      <family val="2"/>
    </font>
    <font>
      <b/>
      <sz val="12"/>
      <color theme="1"/>
      <name val="Calibri"/>
      <family val="2"/>
    </font>
    <font>
      <b/>
      <sz val="12"/>
      <color rgb="FF111827"/>
      <name val="Calibri"/>
      <family val="2"/>
    </font>
    <font>
      <sz val="12"/>
      <color theme="1"/>
      <name val="Calibri"/>
      <family val="2"/>
    </font>
    <font>
      <b/>
      <sz val="12"/>
      <color theme="0" tint="-0.499984740745262"/>
      <name val="Calibri"/>
      <family val="2"/>
    </font>
    <font>
      <sz val="12"/>
      <color theme="0" tint="-0.499984740745262"/>
      <name val="Calibri"/>
      <family val="2"/>
    </font>
    <font>
      <sz val="12"/>
      <color theme="1"/>
      <name val="Calibri"/>
      <family val="2"/>
    </font>
  </fonts>
  <fills count="7">
    <fill>
      <patternFill patternType="none"/>
    </fill>
    <fill>
      <patternFill patternType="gray125"/>
    </fill>
    <fill>
      <patternFill patternType="solid">
        <fgColor rgb="FF111827"/>
      </patternFill>
    </fill>
    <fill>
      <patternFill patternType="solid">
        <fgColor rgb="FF0F172A"/>
      </patternFill>
    </fill>
    <fill>
      <patternFill patternType="solid">
        <fgColor rgb="FFE5E7EB"/>
      </patternFill>
    </fill>
    <fill>
      <patternFill patternType="solid">
        <fgColor theme="0" tint="-4.9989318521683403E-2"/>
        <bgColor theme="4" tint="0.79998168889431442"/>
      </patternFill>
    </fill>
    <fill>
      <patternFill patternType="solid">
        <fgColor theme="0" tint="-4.9989318521683403E-2"/>
        <bgColor indexed="64"/>
      </patternFill>
    </fill>
  </fills>
  <borders count="5">
    <border>
      <left/>
      <right/>
      <top/>
      <bottom/>
      <diagonal/>
    </border>
    <border>
      <left/>
      <right/>
      <top/>
      <bottom/>
      <diagonal/>
    </border>
    <border>
      <left/>
      <right/>
      <top/>
      <bottom style="thin">
        <color indexed="64"/>
      </bottom>
      <diagonal/>
    </border>
    <border>
      <left/>
      <right/>
      <top style="thin">
        <color theme="4"/>
      </top>
      <bottom/>
      <diagonal/>
    </border>
    <border>
      <left/>
      <right/>
      <top style="thin">
        <color theme="4"/>
      </top>
      <bottom style="thin">
        <color theme="4"/>
      </bottom>
      <diagonal/>
    </border>
  </borders>
  <cellStyleXfs count="2">
    <xf numFmtId="0" fontId="0" fillId="0" borderId="0"/>
    <xf numFmtId="9" fontId="8" fillId="0" borderId="0" applyFont="0" applyFill="0" applyBorder="0" applyAlignment="0" applyProtection="0"/>
  </cellStyleXfs>
  <cellXfs count="40">
    <xf numFmtId="0" fontId="0" fillId="0" borderId="0" xfId="0"/>
    <xf numFmtId="0" fontId="1" fillId="2" borderId="0" xfId="0" applyFont="1" applyFill="1" applyAlignment="1">
      <alignment horizontal="center" vertical="center"/>
    </xf>
    <xf numFmtId="0" fontId="1" fillId="2" borderId="0" xfId="0" applyFont="1" applyFill="1" applyAlignment="1">
      <alignment horizontal="center" vertical="center" wrapText="1"/>
    </xf>
    <xf numFmtId="0" fontId="3" fillId="0" borderId="0" xfId="0" applyFont="1"/>
    <xf numFmtId="1" fontId="0" fillId="0" borderId="0" xfId="0" applyNumberFormat="1"/>
    <xf numFmtId="164" fontId="0" fillId="0" borderId="0" xfId="0" applyNumberFormat="1"/>
    <xf numFmtId="2" fontId="0" fillId="0" borderId="0" xfId="0" applyNumberFormat="1"/>
    <xf numFmtId="1" fontId="0" fillId="0" borderId="0" xfId="0" applyNumberFormat="1" applyAlignment="1">
      <alignment horizontal="center"/>
    </xf>
    <xf numFmtId="164" fontId="0" fillId="0" borderId="0" xfId="0" applyNumberFormat="1" applyAlignment="1">
      <alignment horizontal="center"/>
    </xf>
    <xf numFmtId="2" fontId="0" fillId="0" borderId="0" xfId="0" applyNumberFormat="1" applyAlignment="1">
      <alignment horizontal="center"/>
    </xf>
    <xf numFmtId="0" fontId="5" fillId="0" borderId="0" xfId="0" applyFont="1"/>
    <xf numFmtId="0" fontId="0" fillId="0" borderId="0" xfId="0" pivotButton="1"/>
    <xf numFmtId="0" fontId="0" fillId="0" borderId="0" xfId="0" applyAlignment="1">
      <alignment horizontal="left"/>
    </xf>
    <xf numFmtId="9" fontId="0" fillId="0" borderId="0" xfId="0" applyNumberFormat="1"/>
    <xf numFmtId="165" fontId="0" fillId="0" borderId="0" xfId="0" applyNumberFormat="1"/>
    <xf numFmtId="165" fontId="0" fillId="0" borderId="0" xfId="0" applyNumberFormat="1" applyAlignment="1">
      <alignment horizontal="center"/>
    </xf>
    <xf numFmtId="1" fontId="3" fillId="0" borderId="0" xfId="0" applyNumberFormat="1" applyFont="1" applyAlignment="1">
      <alignment horizontal="center"/>
    </xf>
    <xf numFmtId="165" fontId="3" fillId="0" borderId="0" xfId="0" applyNumberFormat="1" applyFont="1" applyAlignment="1">
      <alignment horizontal="center"/>
    </xf>
    <xf numFmtId="2" fontId="3" fillId="0" borderId="0" xfId="0" applyNumberFormat="1" applyFont="1" applyAlignment="1">
      <alignment horizontal="center"/>
    </xf>
    <xf numFmtId="164" fontId="3" fillId="0" borderId="0" xfId="0" applyNumberFormat="1" applyFont="1" applyAlignment="1">
      <alignment horizontal="center"/>
    </xf>
    <xf numFmtId="164" fontId="5" fillId="0" borderId="0" xfId="0" applyNumberFormat="1" applyFont="1" applyAlignment="1">
      <alignment horizontal="center"/>
    </xf>
    <xf numFmtId="2" fontId="5" fillId="0" borderId="0" xfId="0" applyNumberFormat="1" applyFont="1" applyAlignment="1">
      <alignment horizontal="center"/>
    </xf>
    <xf numFmtId="166" fontId="7" fillId="6" borderId="1" xfId="0" applyNumberFormat="1" applyFont="1" applyFill="1" applyBorder="1"/>
    <xf numFmtId="0" fontId="7" fillId="6" borderId="1" xfId="0" applyFont="1" applyFill="1" applyBorder="1"/>
    <xf numFmtId="0" fontId="6" fillId="5" borderId="2" xfId="0" applyFont="1" applyFill="1" applyBorder="1"/>
    <xf numFmtId="0" fontId="6" fillId="5" borderId="2" xfId="0" applyFont="1" applyFill="1" applyBorder="1" applyAlignment="1">
      <alignment horizontal="center"/>
    </xf>
    <xf numFmtId="9" fontId="7" fillId="6" borderId="1" xfId="0" applyNumberFormat="1" applyFont="1" applyFill="1" applyBorder="1" applyAlignment="1">
      <alignment horizontal="center"/>
    </xf>
    <xf numFmtId="165" fontId="7" fillId="6" borderId="1" xfId="0" applyNumberFormat="1" applyFont="1" applyFill="1" applyBorder="1" applyAlignment="1">
      <alignment horizontal="center"/>
    </xf>
    <xf numFmtId="0" fontId="0" fillId="0" borderId="0" xfId="0" pivotButton="1" applyAlignment="1">
      <alignment wrapText="1"/>
    </xf>
    <xf numFmtId="0" fontId="0" fillId="0" borderId="0" xfId="0" applyAlignment="1">
      <alignment wrapText="1"/>
    </xf>
    <xf numFmtId="0" fontId="0" fillId="0" borderId="0" xfId="0" pivotButton="1" applyAlignment="1">
      <alignment vertical="top" wrapText="1"/>
    </xf>
    <xf numFmtId="0" fontId="0" fillId="0" borderId="0" xfId="0" applyAlignment="1">
      <alignment horizontal="left" vertical="top" wrapText="1"/>
    </xf>
    <xf numFmtId="0" fontId="0" fillId="0" borderId="0" xfId="0" applyAlignment="1">
      <alignment vertical="top" wrapText="1"/>
    </xf>
    <xf numFmtId="164" fontId="3" fillId="0" borderId="0" xfId="1" applyNumberFormat="1" applyFont="1" applyAlignment="1">
      <alignment horizontal="center"/>
    </xf>
    <xf numFmtId="0" fontId="2" fillId="3" borderId="0" xfId="0" applyFont="1" applyFill="1" applyAlignment="1">
      <alignment horizontal="center" vertical="center"/>
    </xf>
    <xf numFmtId="0" fontId="0" fillId="0" borderId="0" xfId="0"/>
    <xf numFmtId="0" fontId="4" fillId="4" borderId="0" xfId="0" applyFont="1" applyFill="1" applyAlignment="1">
      <alignment horizontal="left"/>
    </xf>
    <xf numFmtId="0" fontId="5" fillId="0" borderId="3" xfId="0" applyFont="1" applyBorder="1"/>
    <xf numFmtId="0" fontId="5" fillId="0" borderId="4" xfId="0" applyFont="1" applyBorder="1"/>
    <xf numFmtId="0" fontId="0" fillId="0" borderId="0" xfId="0" applyNumberFormat="1"/>
  </cellXfs>
  <cellStyles count="2">
    <cellStyle name="Normal" xfId="0" builtinId="0"/>
    <cellStyle name="Percent" xfId="1" builtinId="5"/>
  </cellStyles>
  <dxfs count="57">
    <dxf>
      <numFmt numFmtId="2" formatCode="0.00"/>
    </dxf>
    <dxf>
      <numFmt numFmtId="13" formatCode="0%"/>
    </dxf>
    <dxf>
      <numFmt numFmtId="13" formatCode="0%"/>
    </dxf>
    <dxf>
      <alignment wrapText="1"/>
    </dxf>
    <dxf>
      <alignment wrapText="1"/>
    </dxf>
    <dxf>
      <alignment wrapText="1"/>
    </dxf>
    <dxf>
      <alignment vertical="top"/>
    </dxf>
    <dxf>
      <alignment vertical="top"/>
    </dxf>
    <dxf>
      <alignment vertical="top"/>
    </dxf>
    <dxf>
      <numFmt numFmtId="13" formatCode="0%"/>
    </dxf>
    <dxf>
      <numFmt numFmtId="165" formatCode="0.0"/>
    </dxf>
    <dxf>
      <numFmt numFmtId="0" formatCode="General"/>
    </dxf>
    <dxf>
      <numFmt numFmtId="2" formatCode="0.00"/>
    </dxf>
    <dxf>
      <alignment wrapText="1"/>
    </dxf>
    <dxf>
      <alignment wrapText="1"/>
    </dxf>
    <dxf>
      <numFmt numFmtId="13" formatCode="0%"/>
    </dxf>
    <dxf>
      <numFmt numFmtId="165" formatCode="0.0"/>
    </dxf>
    <dxf>
      <numFmt numFmtId="0" formatCode="General"/>
    </dxf>
    <dxf>
      <numFmt numFmtId="2" formatCode="0.00"/>
    </dxf>
    <dxf>
      <alignment wrapText="1"/>
    </dxf>
    <dxf>
      <alignment wrapText="1"/>
    </dxf>
    <dxf>
      <numFmt numFmtId="13" formatCode="0%"/>
    </dxf>
    <dxf>
      <numFmt numFmtId="165" formatCode="0.0"/>
    </dxf>
    <dxf>
      <numFmt numFmtId="0" formatCode="General"/>
    </dxf>
    <dxf>
      <numFmt numFmtId="2" formatCode="0.00"/>
    </dxf>
    <dxf>
      <alignment wrapText="1"/>
    </dxf>
    <dxf>
      <alignment wrapText="1"/>
    </dxf>
    <dxf>
      <numFmt numFmtId="2" formatCode="0.00"/>
    </dxf>
    <dxf>
      <numFmt numFmtId="13" formatCode="0%"/>
    </dxf>
    <dxf>
      <numFmt numFmtId="13" formatCode="0%"/>
    </dxf>
    <dxf>
      <alignment wrapText="1"/>
    </dxf>
    <dxf>
      <alignment wrapText="1"/>
    </dxf>
    <dxf>
      <alignment wrapText="1"/>
    </dxf>
    <dxf>
      <alignment vertical="top"/>
    </dxf>
    <dxf>
      <alignment vertical="top"/>
    </dxf>
    <dxf>
      <alignment vertical="top"/>
    </dxf>
    <dxf>
      <numFmt numFmtId="13" formatCode="0%"/>
    </dxf>
    <dxf>
      <numFmt numFmtId="165" formatCode="0.0"/>
    </dxf>
    <dxf>
      <numFmt numFmtId="0" formatCode="General"/>
    </dxf>
    <dxf>
      <numFmt numFmtId="2" formatCode="0.00"/>
    </dxf>
    <dxf>
      <alignment wrapText="1"/>
    </dxf>
    <dxf>
      <alignment wrapText="1"/>
    </dxf>
    <dxf>
      <alignment wrapText="1"/>
    </dxf>
    <dxf>
      <alignment wrapText="1"/>
    </dxf>
    <dxf>
      <numFmt numFmtId="2" formatCode="0.00"/>
    </dxf>
    <dxf>
      <numFmt numFmtId="0" formatCode="General"/>
    </dxf>
    <dxf>
      <numFmt numFmtId="165" formatCode="0.0"/>
    </dxf>
    <dxf>
      <numFmt numFmtId="13" formatCode="0%"/>
    </dxf>
    <dxf>
      <alignment vertical="top"/>
    </dxf>
    <dxf>
      <alignment vertical="top"/>
    </dxf>
    <dxf>
      <alignment vertical="top"/>
    </dxf>
    <dxf>
      <alignment wrapText="1"/>
    </dxf>
    <dxf>
      <alignment wrapText="1"/>
    </dxf>
    <dxf>
      <alignment wrapText="1"/>
    </dxf>
    <dxf>
      <numFmt numFmtId="13" formatCode="0%"/>
    </dxf>
    <dxf>
      <numFmt numFmtId="13" formatCode="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4.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5.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r>
              <a:rPr lang="en-US" sz="1200">
                <a:latin typeface="Arial" panose="020B0604020202020204" pitchFamily="34" charset="0"/>
                <a:cs typeface="Arial" panose="020B0604020202020204" pitchFamily="34" charset="0"/>
              </a:rPr>
              <a:t>Issue rates for selected run</a:t>
            </a:r>
          </a:p>
        </c:rich>
      </c:tx>
      <c:overlay val="0"/>
      <c:spPr>
        <a:noFill/>
        <a:ln>
          <a:noFill/>
        </a:ln>
        <a:effectLst/>
      </c:spPr>
    </c:title>
    <c:autoTitleDeleted val="0"/>
    <c:plotArea>
      <c:layout/>
      <c:barChart>
        <c:barDir val="col"/>
        <c:grouping val="clustered"/>
        <c:varyColors val="0"/>
        <c:ser>
          <c:idx val="0"/>
          <c:order val="0"/>
          <c:tx>
            <c:v>Rate</c:v>
          </c:tx>
          <c:spPr>
            <a:solidFill>
              <a:srgbClr val="C0504D"/>
            </a:solidFill>
            <a:ln>
              <a:noFill/>
            </a:ln>
            <a:effectLst/>
          </c:spPr>
          <c:invertIfNegative val="1"/>
          <c:cat>
            <c:strRef>
              <c:f>'Run Dashboard'!$G$29:$G$32</c:f>
              <c:strCache>
                <c:ptCount val="4"/>
                <c:pt idx="0">
                  <c:v>Erroneous</c:v>
                </c:pt>
                <c:pt idx="1">
                  <c:v>Missing</c:v>
                </c:pt>
                <c:pt idx="2">
                  <c:v>Unnecessary</c:v>
                </c:pt>
                <c:pt idx="3">
                  <c:v>Source count mismatch</c:v>
                </c:pt>
              </c:strCache>
            </c:strRef>
          </c:cat>
          <c:val>
            <c:numRef>
              <c:f>'Run Dashboard'!$H$29:$H$32</c:f>
              <c:numCache>
                <c:formatCode>0.0%</c:formatCode>
                <c:ptCount val="4"/>
                <c:pt idx="0">
                  <c:v>6.6666666666666666E-2</c:v>
                </c:pt>
                <c:pt idx="1">
                  <c:v>0.8</c:v>
                </c:pt>
                <c:pt idx="2">
                  <c:v>0.53333333333333333</c:v>
                </c:pt>
                <c:pt idx="3">
                  <c:v>0.4</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0-2402-804F-9A33-20ED58B3BAF5}"/>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round/>
            </a:ln>
            <a:effectLst/>
          </c:spPr>
        </c:majorGridlines>
        <c:numFmt formatCode="General" sourceLinked="1"/>
        <c:majorTickMark val="none"/>
        <c:minorTickMark val="none"/>
        <c:tickLblPos val="nextTo"/>
        <c:spPr>
          <a:noFill/>
          <a:ln w="9525">
            <a:solidFill>
              <a:schemeClr val="tx1">
                <a:shade val="95000"/>
                <a:satMod val="105000"/>
              </a:schemeClr>
            </a:solidFill>
            <a:prstDash val="solid"/>
            <a:round/>
          </a:ln>
          <a:effectLst/>
        </c:spPr>
        <c:txPr>
          <a:bodyPr rot="-60000000" spcFirstLastPara="1" vertOverflow="ellipsis" vert="horz" wrap="square" anchor="ctr" anchorCtr="1"/>
          <a:lstStyle/>
          <a:p>
            <a:pPr>
              <a:defRPr sz="8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48672768"/>
        <c:crosses val="autoZero"/>
        <c:auto val="1"/>
        <c:lblAlgn val="ctr"/>
        <c:lblOffset val="100"/>
        <c:noMultiLvlLbl val="0"/>
      </c:catAx>
      <c:valAx>
        <c:axId val="48672768"/>
        <c:scaling>
          <c:orientation val="minMax"/>
          <c:max val="1"/>
        </c:scaling>
        <c:delete val="0"/>
        <c:axPos val="l"/>
        <c:majorGridlines>
          <c:spPr>
            <a:ln w="9525">
              <a:solidFill>
                <a:srgbClr val="CCCCCC"/>
              </a:solidFill>
              <a:prstDash val="dash"/>
              <a:round/>
            </a:ln>
            <a:effectLst/>
          </c:spPr>
        </c:majorGridlines>
        <c:numFmt formatCode="0%" sourceLinked="0"/>
        <c:majorTickMark val="none"/>
        <c:minorTickMark val="none"/>
        <c:tickLblPos val="nextTo"/>
        <c:spPr>
          <a:noFill/>
          <a:ln w="9525">
            <a:solidFill>
              <a:schemeClr val="tx1">
                <a:shade val="95000"/>
                <a:satMod val="105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48650112"/>
        <c:crosses val="autoZero"/>
        <c:crossBetween val="between"/>
        <c:majorUnit val="0.2"/>
      </c:valAx>
      <c:spPr>
        <a:noFill/>
        <a:ln w="25400">
          <a:noFill/>
        </a:ln>
        <a:effectLst/>
      </c:spPr>
    </c:plotArea>
    <c:plotVisOnly val="1"/>
    <c:dispBlanksAs val="zero"/>
    <c:showDLblsOverMax val="1"/>
  </c:chart>
  <c:spPr>
    <a:solidFill>
      <a:schemeClr val="bg1"/>
    </a:solidFill>
    <a:ln w="9525">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r>
              <a:rPr lang="en-US" sz="1200">
                <a:solidFill>
                  <a:schemeClr val="bg1"/>
                </a:solidFill>
                <a:latin typeface="Arial" panose="020B0604020202020204" pitchFamily="34" charset="0"/>
                <a:cs typeface="Arial" panose="020B0604020202020204" pitchFamily="34" charset="0"/>
              </a:rPr>
              <a:t>Selected run vs all runs: advanced score</a:t>
            </a:r>
          </a:p>
        </c:rich>
      </c:tx>
      <c:overlay val="0"/>
      <c:spPr>
        <a:noFill/>
        <a:ln>
          <a:noFill/>
        </a:ln>
        <a:effectLst/>
      </c:spPr>
    </c:title>
    <c:autoTitleDeleted val="0"/>
    <c:plotArea>
      <c:layout/>
      <c:barChart>
        <c:barDir val="bar"/>
        <c:grouping val="clustered"/>
        <c:varyColors val="0"/>
        <c:ser>
          <c:idx val="0"/>
          <c:order val="0"/>
          <c:tx>
            <c:v>Value</c:v>
          </c:tx>
          <c:spPr>
            <a:pattFill prst="ltUpDiag">
              <a:fgClr>
                <a:schemeClr val="accent1"/>
              </a:fgClr>
              <a:bgClr>
                <a:schemeClr val="lt1"/>
              </a:bgClr>
            </a:pattFill>
            <a:ln>
              <a:noFill/>
            </a:ln>
            <a:effectLst/>
          </c:spPr>
          <c:invertIfNegative val="1"/>
          <c:cat>
            <c:strRef>
              <c:f>'Run Dashboard'!$G$43:$G$44</c:f>
              <c:strCache>
                <c:ptCount val="2"/>
                <c:pt idx="0">
                  <c:v>Selected run</c:v>
                </c:pt>
                <c:pt idx="1">
                  <c:v>All runs avg</c:v>
                </c:pt>
              </c:strCache>
            </c:strRef>
          </c:cat>
          <c:val>
            <c:numRef>
              <c:f>'Run Dashboard'!$H$43:$H$44</c:f>
              <c:numCache>
                <c:formatCode>0.00</c:formatCode>
                <c:ptCount val="2"/>
                <c:pt idx="0">
                  <c:v>2.4</c:v>
                </c:pt>
                <c:pt idx="1">
                  <c:v>3.1142857142857143</c:v>
                </c:pt>
              </c:numCache>
            </c:numRef>
          </c:val>
          <c:extLst>
            <c:ext xmlns:c16="http://schemas.microsoft.com/office/drawing/2014/chart" uri="{C3380CC4-5D6E-409C-BE32-E72D297353CC}">
              <c16:uniqueId val="{00000000-8702-5049-B04B-74ED5816C6DE}"/>
            </c:ext>
          </c:extLst>
        </c:ser>
        <c:dLbls>
          <c:showLegendKey val="0"/>
          <c:showVal val="0"/>
          <c:showCatName val="0"/>
          <c:showSerName val="0"/>
          <c:showPercent val="0"/>
          <c:showBubbleSize val="0"/>
        </c:dLbls>
        <c:gapWidth val="269"/>
        <c:overlap val="-20"/>
        <c:axId val="48650112"/>
        <c:axId val="48672768"/>
      </c:barChart>
      <c:catAx>
        <c:axId val="48650112"/>
        <c:scaling>
          <c:orientation val="minMax"/>
        </c:scaling>
        <c:delete val="0"/>
        <c:axPos val="l"/>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n-US"/>
          </a:p>
        </c:txPr>
        <c:crossAx val="48672768"/>
        <c:crosses val="autoZero"/>
        <c:auto val="1"/>
        <c:lblAlgn val="ctr"/>
        <c:lblOffset val="100"/>
        <c:noMultiLvlLbl val="0"/>
      </c:catAx>
      <c:valAx>
        <c:axId val="48672768"/>
        <c:scaling>
          <c:orientation val="minMax"/>
        </c:scaling>
        <c:delete val="0"/>
        <c:axPos val="b"/>
        <c:majorGridlines>
          <c:spPr>
            <a:ln w="9525" cap="flat" cmpd="sng" algn="ctr">
              <a:solidFill>
                <a:schemeClr val="lt1">
                  <a:alpha val="2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48650112"/>
        <c:crosses val="autoZero"/>
        <c:crossBetween val="between"/>
      </c:valAx>
      <c:spPr>
        <a:noFill/>
        <a:ln>
          <a:noFill/>
        </a:ln>
        <a:effectLst/>
      </c:spPr>
    </c:plotArea>
    <c:plotVisOnly val="1"/>
    <c:dispBlanksAs val="zero"/>
    <c:showDLblsOverMax val="1"/>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r>
              <a:rPr lang="en-US" sz="1200">
                <a:latin typeface="Arial" panose="020B0604020202020204" pitchFamily="34" charset="0"/>
                <a:cs typeface="Arial" panose="020B0604020202020204" pitchFamily="34" charset="0"/>
              </a:rPr>
              <a:t>Advanced score distribution</a:t>
            </a:r>
          </a:p>
        </c:rich>
      </c:tx>
      <c:overlay val="0"/>
      <c:spPr>
        <a:noFill/>
        <a:ln>
          <a:noFill/>
        </a:ln>
        <a:effectLst/>
      </c:spPr>
    </c:title>
    <c:autoTitleDeleted val="0"/>
    <c:plotArea>
      <c:layout/>
      <c:barChart>
        <c:barDir val="col"/>
        <c:grouping val="clustered"/>
        <c:varyColors val="0"/>
        <c:ser>
          <c:idx val="0"/>
          <c:order val="0"/>
          <c:tx>
            <c:v>Count</c:v>
          </c:tx>
          <c:spPr>
            <a:solidFill>
              <a:srgbClr val="4F81BD"/>
            </a:solidFill>
            <a:ln>
              <a:noFill/>
            </a:ln>
            <a:effectLst/>
          </c:spPr>
          <c:invertIfNegative val="1"/>
          <c:cat>
            <c:numRef>
              <c:f>'Run Dashboard'!$G$35:$G$39</c:f>
              <c:numCache>
                <c:formatCode>General</c:formatCode>
                <c:ptCount val="5"/>
                <c:pt idx="0">
                  <c:v>1</c:v>
                </c:pt>
                <c:pt idx="1">
                  <c:v>2</c:v>
                </c:pt>
                <c:pt idx="2">
                  <c:v>3</c:v>
                </c:pt>
                <c:pt idx="3">
                  <c:v>4</c:v>
                </c:pt>
                <c:pt idx="4">
                  <c:v>5</c:v>
                </c:pt>
              </c:numCache>
            </c:numRef>
          </c:cat>
          <c:val>
            <c:numRef>
              <c:f>'Run Dashboard'!$H$35:$H$39</c:f>
              <c:numCache>
                <c:formatCode>0</c:formatCode>
                <c:ptCount val="5"/>
                <c:pt idx="0">
                  <c:v>6</c:v>
                </c:pt>
                <c:pt idx="1">
                  <c:v>1</c:v>
                </c:pt>
                <c:pt idx="2">
                  <c:v>5</c:v>
                </c:pt>
                <c:pt idx="3">
                  <c:v>2</c:v>
                </c:pt>
                <c:pt idx="4">
                  <c:v>1</c:v>
                </c:pt>
              </c:numCache>
            </c:numRef>
          </c:val>
          <c:extLst>
            <c:ext xmlns:c14="http://schemas.microsoft.com/office/drawing/2007/8/2/chart" uri="{6F2FDCE9-48DA-4B69-8628-5D25D57E5C99}">
              <c14:invertSolidFillFmt>
                <c14:spPr xmlns:c14="http://schemas.microsoft.com/office/drawing/2007/8/2/chart">
                  <a:solidFill>
                    <a:srgbClr val="FFFFFF"/>
                  </a:solidFill>
                  <a:ln>
                    <a:noFill/>
                  </a:ln>
                  <a:effectLst/>
                </c14:spPr>
              </c14:invertSolidFillFmt>
            </c:ext>
            <c:ext xmlns:c16="http://schemas.microsoft.com/office/drawing/2014/chart" uri="{C3380CC4-5D6E-409C-BE32-E72D297353CC}">
              <c16:uniqueId val="{00000000-65B0-6A4D-BC2F-9284E0213C02}"/>
            </c:ext>
          </c:extLst>
        </c:ser>
        <c:dLbls>
          <c:showLegendKey val="0"/>
          <c:showVal val="0"/>
          <c:showCatName val="0"/>
          <c:showSerName val="0"/>
          <c:showPercent val="0"/>
          <c:showBubbleSize val="0"/>
        </c:dLbls>
        <c:gapWidth val="150"/>
        <c:overlap val="-33"/>
        <c:axId val="48650112"/>
        <c:axId val="48672768"/>
      </c:barChart>
      <c:catAx>
        <c:axId val="48650112"/>
        <c:scaling>
          <c:orientation val="minMax"/>
        </c:scaling>
        <c:delete val="0"/>
        <c:axPos val="b"/>
        <c:majorGridlines>
          <c:spPr>
            <a:ln w="9525">
              <a:solidFill>
                <a:srgbClr val="CCCCCC"/>
              </a:solidFill>
              <a:prstDash val="dash"/>
              <a:round/>
            </a:ln>
            <a:effectLst/>
          </c:spPr>
        </c:majorGridlines>
        <c:numFmt formatCode="General" sourceLinked="1"/>
        <c:majorTickMark val="none"/>
        <c:minorTickMark val="none"/>
        <c:tickLblPos val="nextTo"/>
        <c:spPr>
          <a:noFill/>
          <a:ln w="9525">
            <a:solidFill>
              <a:schemeClr val="tx1">
                <a:shade val="95000"/>
                <a:satMod val="105000"/>
              </a:schemeClr>
            </a:solidFill>
            <a:prstDash val="solid"/>
            <a:round/>
          </a:ln>
          <a:effectLst/>
        </c:spPr>
        <c:txPr>
          <a:bodyPr rot="-60000000" spcFirstLastPara="1" vertOverflow="ellipsis" vert="horz" wrap="square" anchor="ctr" anchorCtr="1"/>
          <a:lstStyle/>
          <a:p>
            <a:pPr>
              <a:defRPr sz="800" b="0" i="0" u="none" strike="noStrike" kern="1200" baseline="0">
                <a:solidFill>
                  <a:schemeClr val="tx1"/>
                </a:solidFill>
                <a:latin typeface="Arial" panose="020B0604020202020204" pitchFamily="34" charset="0"/>
                <a:ea typeface="+mn-ea"/>
                <a:cs typeface="Arial" panose="020B0604020202020204" pitchFamily="34" charset="0"/>
              </a:defRPr>
            </a:pPr>
            <a:endParaRPr lang="en-US"/>
          </a:p>
        </c:txPr>
        <c:crossAx val="48672768"/>
        <c:crosses val="autoZero"/>
        <c:auto val="1"/>
        <c:lblAlgn val="ctr"/>
        <c:lblOffset val="100"/>
        <c:noMultiLvlLbl val="0"/>
      </c:catAx>
      <c:valAx>
        <c:axId val="48672768"/>
        <c:scaling>
          <c:orientation val="minMax"/>
          <c:max val="5"/>
        </c:scaling>
        <c:delete val="0"/>
        <c:axPos val="l"/>
        <c:majorGridlines>
          <c:spPr>
            <a:ln w="9525">
              <a:solidFill>
                <a:srgbClr val="CCCCCC"/>
              </a:solidFill>
              <a:prstDash val="dash"/>
              <a:round/>
            </a:ln>
            <a:effectLst/>
          </c:spPr>
        </c:majorGridlines>
        <c:numFmt formatCode="0" sourceLinked="1"/>
        <c:majorTickMark val="none"/>
        <c:minorTickMark val="none"/>
        <c:tickLblPos val="nextTo"/>
        <c:spPr>
          <a:noFill/>
          <a:ln w="9525">
            <a:solidFill>
              <a:schemeClr val="tx1">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48650112"/>
        <c:crosses val="autoZero"/>
        <c:crossBetween val="between"/>
        <c:majorUnit val="1"/>
      </c:valAx>
      <c:spPr>
        <a:solidFill>
          <a:schemeClr val="bg1"/>
        </a:solidFill>
        <a:ln>
          <a:noFill/>
        </a:ln>
        <a:effectLst/>
      </c:spPr>
    </c:plotArea>
    <c:plotVisOnly val="1"/>
    <c:dispBlanksAs val="zero"/>
    <c:showDLblsOverMax val="1"/>
  </c:chart>
  <c:spPr>
    <a:solidFill>
      <a:schemeClr val="bg1"/>
    </a:solidFill>
    <a:ln w="9525">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Avg. Source Accuracy Over Time</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lotArea>
      <c:layout/>
      <c:lineChart>
        <c:grouping val="standard"/>
        <c:varyColors val="0"/>
        <c:ser>
          <c:idx val="0"/>
          <c:order val="0"/>
          <c:tx>
            <c:strRef>
              <c:f>'Runs Over Time'!$H$18</c:f>
              <c:strCache>
                <c:ptCount val="1"/>
                <c:pt idx="0">
                  <c:v>Source Count</c:v>
                </c:pt>
              </c:strCache>
            </c:strRef>
          </c:tx>
          <c:spPr>
            <a:ln w="22225" cap="rnd">
              <a:solidFill>
                <a:schemeClr val="accent1"/>
              </a:solidFill>
              <a:round/>
            </a:ln>
            <a:effectLst/>
          </c:spPr>
          <c:marker>
            <c:symbol val="none"/>
          </c:marker>
          <c:cat>
            <c:multiLvlStrRef>
              <c:f>'Runs Over Time'!$F$19:$G$25</c:f>
              <c:multiLvlStrCache>
                <c:ptCount val="7"/>
                <c:lvl>
                  <c:pt idx="0">
                    <c:v>14265</c:v>
                  </c:pt>
                  <c:pt idx="1">
                    <c:v>14269</c:v>
                  </c:pt>
                  <c:pt idx="2">
                    <c:v>14270</c:v>
                  </c:pt>
                  <c:pt idx="3">
                    <c:v>14271</c:v>
                  </c:pt>
                  <c:pt idx="4">
                    <c:v>14274</c:v>
                  </c:pt>
                  <c:pt idx="5">
                    <c:v>14275</c:v>
                  </c:pt>
                  <c:pt idx="6">
                    <c:v>14301</c:v>
                  </c:pt>
                </c:lvl>
                <c:lvl>
                  <c:pt idx="0">
                    <c:v>6/27/26 6:14 PM</c:v>
                  </c:pt>
                  <c:pt idx="1">
                    <c:v>6/27/26 6:26 PM</c:v>
                  </c:pt>
                  <c:pt idx="2">
                    <c:v>6/27/26 6:33 PM</c:v>
                  </c:pt>
                  <c:pt idx="3">
                    <c:v>6/27/26 6:47 PM</c:v>
                  </c:pt>
                  <c:pt idx="4">
                    <c:v>6/27/26 8:52 PM</c:v>
                  </c:pt>
                  <c:pt idx="5">
                    <c:v>6/27/26 9:02 PM</c:v>
                  </c:pt>
                  <c:pt idx="6">
                    <c:v>6/27/26 10:26 PM</c:v>
                  </c:pt>
                </c:lvl>
              </c:multiLvlStrCache>
            </c:multiLvlStrRef>
          </c:cat>
          <c:val>
            <c:numRef>
              <c:f>'Runs Over Time'!$H$19:$H$25</c:f>
              <c:numCache>
                <c:formatCode>0%</c:formatCode>
                <c:ptCount val="7"/>
                <c:pt idx="0">
                  <c:v>0.73333333333333328</c:v>
                </c:pt>
                <c:pt idx="1">
                  <c:v>0.8666666666666667</c:v>
                </c:pt>
                <c:pt idx="2">
                  <c:v>0.8666666666666667</c:v>
                </c:pt>
                <c:pt idx="3">
                  <c:v>0.66666666666666663</c:v>
                </c:pt>
                <c:pt idx="4">
                  <c:v>0.8666666666666667</c:v>
                </c:pt>
                <c:pt idx="5">
                  <c:v>0.8</c:v>
                </c:pt>
                <c:pt idx="6">
                  <c:v>0.6</c:v>
                </c:pt>
              </c:numCache>
            </c:numRef>
          </c:val>
          <c:smooth val="0"/>
          <c:extLst>
            <c:ext xmlns:c16="http://schemas.microsoft.com/office/drawing/2014/chart" uri="{C3380CC4-5D6E-409C-BE32-E72D297353CC}">
              <c16:uniqueId val="{00000000-8354-1441-A0AB-EE2D23974AEB}"/>
            </c:ext>
          </c:extLst>
        </c:ser>
        <c:ser>
          <c:idx val="1"/>
          <c:order val="1"/>
          <c:tx>
            <c:strRef>
              <c:f>'Runs Over Time'!$I$18</c:f>
              <c:strCache>
                <c:ptCount val="1"/>
                <c:pt idx="0">
                  <c:v>Source Name Match</c:v>
                </c:pt>
              </c:strCache>
            </c:strRef>
          </c:tx>
          <c:spPr>
            <a:ln w="22225" cap="rnd">
              <a:solidFill>
                <a:schemeClr val="accent2"/>
              </a:solidFill>
              <a:round/>
            </a:ln>
            <a:effectLst/>
          </c:spPr>
          <c:marker>
            <c:symbol val="none"/>
          </c:marker>
          <c:cat>
            <c:multiLvlStrRef>
              <c:f>'Runs Over Time'!$F$19:$G$25</c:f>
              <c:multiLvlStrCache>
                <c:ptCount val="7"/>
                <c:lvl>
                  <c:pt idx="0">
                    <c:v>14265</c:v>
                  </c:pt>
                  <c:pt idx="1">
                    <c:v>14269</c:v>
                  </c:pt>
                  <c:pt idx="2">
                    <c:v>14270</c:v>
                  </c:pt>
                  <c:pt idx="3">
                    <c:v>14271</c:v>
                  </c:pt>
                  <c:pt idx="4">
                    <c:v>14274</c:v>
                  </c:pt>
                  <c:pt idx="5">
                    <c:v>14275</c:v>
                  </c:pt>
                  <c:pt idx="6">
                    <c:v>14301</c:v>
                  </c:pt>
                </c:lvl>
                <c:lvl>
                  <c:pt idx="0">
                    <c:v>6/27/26 6:14 PM</c:v>
                  </c:pt>
                  <c:pt idx="1">
                    <c:v>6/27/26 6:26 PM</c:v>
                  </c:pt>
                  <c:pt idx="2">
                    <c:v>6/27/26 6:33 PM</c:v>
                  </c:pt>
                  <c:pt idx="3">
                    <c:v>6/27/26 6:47 PM</c:v>
                  </c:pt>
                  <c:pt idx="4">
                    <c:v>6/27/26 8:52 PM</c:v>
                  </c:pt>
                  <c:pt idx="5">
                    <c:v>6/27/26 9:02 PM</c:v>
                  </c:pt>
                  <c:pt idx="6">
                    <c:v>6/27/26 10:26 PM</c:v>
                  </c:pt>
                </c:lvl>
              </c:multiLvlStrCache>
            </c:multiLvlStrRef>
          </c:cat>
          <c:val>
            <c:numRef>
              <c:f>'Runs Over Time'!$I$19:$I$25</c:f>
              <c:numCache>
                <c:formatCode>0%</c:formatCode>
                <c:ptCount val="7"/>
                <c:pt idx="0">
                  <c:v>0.85771245670017759</c:v>
                </c:pt>
                <c:pt idx="1">
                  <c:v>0.72115962681401435</c:v>
                </c:pt>
                <c:pt idx="2">
                  <c:v>0.96572918153516529</c:v>
                </c:pt>
                <c:pt idx="3">
                  <c:v>0.78913000159289992</c:v>
                </c:pt>
                <c:pt idx="4">
                  <c:v>0.9808707798585008</c:v>
                </c:pt>
                <c:pt idx="5">
                  <c:v>0.81432621331393429</c:v>
                </c:pt>
                <c:pt idx="6">
                  <c:v>0.2950208639097528</c:v>
                </c:pt>
              </c:numCache>
            </c:numRef>
          </c:val>
          <c:smooth val="0"/>
          <c:extLst>
            <c:ext xmlns:c16="http://schemas.microsoft.com/office/drawing/2014/chart" uri="{C3380CC4-5D6E-409C-BE32-E72D297353CC}">
              <c16:uniqueId val="{00000001-8354-1441-A0AB-EE2D23974AEB}"/>
            </c:ext>
          </c:extLst>
        </c:ser>
        <c:dLbls>
          <c:showLegendKey val="0"/>
          <c:showVal val="0"/>
          <c:showCatName val="0"/>
          <c:showSerName val="0"/>
          <c:showPercent val="0"/>
          <c:showBubbleSize val="0"/>
        </c:dLbls>
        <c:smooth val="0"/>
        <c:axId val="559584512"/>
        <c:axId val="559594816"/>
      </c:lineChart>
      <c:catAx>
        <c:axId val="559584512"/>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559594816"/>
        <c:crosses val="autoZero"/>
        <c:auto val="1"/>
        <c:lblAlgn val="ctr"/>
        <c:lblOffset val="100"/>
        <c:noMultiLvlLbl val="0"/>
      </c:catAx>
      <c:valAx>
        <c:axId val="559594816"/>
        <c:scaling>
          <c:orientation val="minMax"/>
          <c:max val="1"/>
        </c:scaling>
        <c:delete val="0"/>
        <c:axPos val="l"/>
        <c:majorGridlines>
          <c:spPr>
            <a:ln w="9525" cap="flat" cmpd="sng" algn="ctr">
              <a:solidFill>
                <a:schemeClr val="dk1">
                  <a:lumMod val="15000"/>
                  <a:lumOff val="85000"/>
                  <a:alpha val="54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559584512"/>
        <c:crosses val="autoZero"/>
        <c:crossBetween val="between"/>
      </c:valAx>
      <c:spPr>
        <a:pattFill prst="ltDnDiag">
          <a:fgClr>
            <a:schemeClr val="dk1">
              <a:lumMod val="15000"/>
              <a:lumOff val="85000"/>
            </a:schemeClr>
          </a:fgClr>
          <a:bgClr>
            <a:schemeClr val="lt1"/>
          </a:bgClr>
        </a:patt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Avg. Correctness Score Over Time</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lotArea>
      <c:layout/>
      <c:lineChart>
        <c:grouping val="standard"/>
        <c:varyColors val="0"/>
        <c:ser>
          <c:idx val="0"/>
          <c:order val="0"/>
          <c:tx>
            <c:strRef>
              <c:f>'Runs Over Time'!$J$18</c:f>
              <c:strCache>
                <c:ptCount val="1"/>
                <c:pt idx="0">
                  <c:v>Simple Correctness</c:v>
                </c:pt>
              </c:strCache>
            </c:strRef>
          </c:tx>
          <c:spPr>
            <a:ln w="22225" cap="rnd">
              <a:solidFill>
                <a:schemeClr val="accent1"/>
              </a:solidFill>
              <a:round/>
            </a:ln>
            <a:effectLst/>
          </c:spPr>
          <c:marker>
            <c:symbol val="none"/>
          </c:marker>
          <c:cat>
            <c:multiLvlStrRef>
              <c:f>'Runs Over Time'!$F$19:$G$25</c:f>
              <c:multiLvlStrCache>
                <c:ptCount val="7"/>
                <c:lvl>
                  <c:pt idx="0">
                    <c:v>14265</c:v>
                  </c:pt>
                  <c:pt idx="1">
                    <c:v>14269</c:v>
                  </c:pt>
                  <c:pt idx="2">
                    <c:v>14270</c:v>
                  </c:pt>
                  <c:pt idx="3">
                    <c:v>14271</c:v>
                  </c:pt>
                  <c:pt idx="4">
                    <c:v>14274</c:v>
                  </c:pt>
                  <c:pt idx="5">
                    <c:v>14275</c:v>
                  </c:pt>
                  <c:pt idx="6">
                    <c:v>14301</c:v>
                  </c:pt>
                </c:lvl>
                <c:lvl>
                  <c:pt idx="0">
                    <c:v>6/27/26 6:14 PM</c:v>
                  </c:pt>
                  <c:pt idx="1">
                    <c:v>6/27/26 6:26 PM</c:v>
                  </c:pt>
                  <c:pt idx="2">
                    <c:v>6/27/26 6:33 PM</c:v>
                  </c:pt>
                  <c:pt idx="3">
                    <c:v>6/27/26 6:47 PM</c:v>
                  </c:pt>
                  <c:pt idx="4">
                    <c:v>6/27/26 8:52 PM</c:v>
                  </c:pt>
                  <c:pt idx="5">
                    <c:v>6/27/26 9:02 PM</c:v>
                  </c:pt>
                  <c:pt idx="6">
                    <c:v>6/27/26 10:26 PM</c:v>
                  </c:pt>
                </c:lvl>
              </c:multiLvlStrCache>
            </c:multiLvlStrRef>
          </c:cat>
          <c:val>
            <c:numRef>
              <c:f>'Runs Over Time'!$J$19:$J$25</c:f>
              <c:numCache>
                <c:formatCode>0.0</c:formatCode>
                <c:ptCount val="7"/>
                <c:pt idx="0">
                  <c:v>3.3333333333333335</c:v>
                </c:pt>
                <c:pt idx="1">
                  <c:v>2.7333333333333334</c:v>
                </c:pt>
                <c:pt idx="2">
                  <c:v>3.4</c:v>
                </c:pt>
                <c:pt idx="3">
                  <c:v>3.4666666666666668</c:v>
                </c:pt>
                <c:pt idx="4">
                  <c:v>3.4</c:v>
                </c:pt>
                <c:pt idx="5">
                  <c:v>3.3333333333333335</c:v>
                </c:pt>
                <c:pt idx="6">
                  <c:v>2.6</c:v>
                </c:pt>
              </c:numCache>
            </c:numRef>
          </c:val>
          <c:smooth val="0"/>
          <c:extLst>
            <c:ext xmlns:c16="http://schemas.microsoft.com/office/drawing/2014/chart" uri="{C3380CC4-5D6E-409C-BE32-E72D297353CC}">
              <c16:uniqueId val="{00000000-C6D7-F347-93BC-D6771A1352EC}"/>
            </c:ext>
          </c:extLst>
        </c:ser>
        <c:ser>
          <c:idx val="1"/>
          <c:order val="1"/>
          <c:tx>
            <c:strRef>
              <c:f>'Runs Over Time'!$K$18</c:f>
              <c:strCache>
                <c:ptCount val="1"/>
                <c:pt idx="0">
                  <c:v>Advanced Correctness</c:v>
                </c:pt>
              </c:strCache>
            </c:strRef>
          </c:tx>
          <c:spPr>
            <a:ln w="22225" cap="rnd">
              <a:solidFill>
                <a:schemeClr val="accent2"/>
              </a:solidFill>
              <a:round/>
            </a:ln>
            <a:effectLst/>
          </c:spPr>
          <c:marker>
            <c:symbol val="none"/>
          </c:marker>
          <c:cat>
            <c:multiLvlStrRef>
              <c:f>'Runs Over Time'!$F$19:$G$25</c:f>
              <c:multiLvlStrCache>
                <c:ptCount val="7"/>
                <c:lvl>
                  <c:pt idx="0">
                    <c:v>14265</c:v>
                  </c:pt>
                  <c:pt idx="1">
                    <c:v>14269</c:v>
                  </c:pt>
                  <c:pt idx="2">
                    <c:v>14270</c:v>
                  </c:pt>
                  <c:pt idx="3">
                    <c:v>14271</c:v>
                  </c:pt>
                  <c:pt idx="4">
                    <c:v>14274</c:v>
                  </c:pt>
                  <c:pt idx="5">
                    <c:v>14275</c:v>
                  </c:pt>
                  <c:pt idx="6">
                    <c:v>14301</c:v>
                  </c:pt>
                </c:lvl>
                <c:lvl>
                  <c:pt idx="0">
                    <c:v>6/27/26 6:14 PM</c:v>
                  </c:pt>
                  <c:pt idx="1">
                    <c:v>6/27/26 6:26 PM</c:v>
                  </c:pt>
                  <c:pt idx="2">
                    <c:v>6/27/26 6:33 PM</c:v>
                  </c:pt>
                  <c:pt idx="3">
                    <c:v>6/27/26 6:47 PM</c:v>
                  </c:pt>
                  <c:pt idx="4">
                    <c:v>6/27/26 8:52 PM</c:v>
                  </c:pt>
                  <c:pt idx="5">
                    <c:v>6/27/26 9:02 PM</c:v>
                  </c:pt>
                  <c:pt idx="6">
                    <c:v>6/27/26 10:26 PM</c:v>
                  </c:pt>
                </c:lvl>
              </c:multiLvlStrCache>
            </c:multiLvlStrRef>
          </c:cat>
          <c:val>
            <c:numRef>
              <c:f>'Runs Over Time'!$K$19:$K$25</c:f>
              <c:numCache>
                <c:formatCode>0.0</c:formatCode>
                <c:ptCount val="7"/>
                <c:pt idx="0">
                  <c:v>3.3333333333333335</c:v>
                </c:pt>
                <c:pt idx="1">
                  <c:v>2.9333333333333331</c:v>
                </c:pt>
                <c:pt idx="2">
                  <c:v>3.2666666666666666</c:v>
                </c:pt>
                <c:pt idx="3">
                  <c:v>3.4</c:v>
                </c:pt>
                <c:pt idx="4">
                  <c:v>3.2666666666666666</c:v>
                </c:pt>
                <c:pt idx="5">
                  <c:v>3.2</c:v>
                </c:pt>
                <c:pt idx="6">
                  <c:v>2.4</c:v>
                </c:pt>
              </c:numCache>
            </c:numRef>
          </c:val>
          <c:smooth val="0"/>
          <c:extLst>
            <c:ext xmlns:c16="http://schemas.microsoft.com/office/drawing/2014/chart" uri="{C3380CC4-5D6E-409C-BE32-E72D297353CC}">
              <c16:uniqueId val="{00000001-C6D7-F347-93BC-D6771A1352EC}"/>
            </c:ext>
          </c:extLst>
        </c:ser>
        <c:dLbls>
          <c:showLegendKey val="0"/>
          <c:showVal val="0"/>
          <c:showCatName val="0"/>
          <c:showSerName val="0"/>
          <c:showPercent val="0"/>
          <c:showBubbleSize val="0"/>
        </c:dLbls>
        <c:smooth val="0"/>
        <c:axId val="559584512"/>
        <c:axId val="559594816"/>
      </c:lineChart>
      <c:catAx>
        <c:axId val="559584512"/>
        <c:scaling>
          <c:orientation val="minMax"/>
        </c:scaling>
        <c:delete val="0"/>
        <c:axPos val="b"/>
        <c:majorGridlines>
          <c:spPr>
            <a:ln w="9525" cap="flat" cmpd="sng" algn="ctr">
              <a:solidFill>
                <a:schemeClr val="dk1">
                  <a:lumMod val="15000"/>
                  <a:lumOff val="85000"/>
                  <a:alpha val="54000"/>
                </a:schemeClr>
              </a:solidFill>
              <a:round/>
            </a:ln>
            <a:effectLst/>
          </c:spPr>
        </c:majorGridlines>
        <c:minorGridlines>
          <c:spPr>
            <a:ln w="9525" cap="flat" cmpd="sng" algn="ctr">
              <a:solidFill>
                <a:schemeClr val="dk1">
                  <a:lumMod val="15000"/>
                  <a:lumOff val="85000"/>
                  <a:alpha val="51000"/>
                </a:schemeClr>
              </a:solidFill>
              <a:round/>
            </a:ln>
            <a:effectLst/>
          </c:spPr>
        </c:min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dk1">
                    <a:lumMod val="65000"/>
                    <a:lumOff val="35000"/>
                  </a:schemeClr>
                </a:solidFill>
                <a:latin typeface="+mn-lt"/>
                <a:ea typeface="+mn-ea"/>
                <a:cs typeface="+mn-cs"/>
              </a:defRPr>
            </a:pPr>
            <a:endParaRPr lang="en-US"/>
          </a:p>
        </c:txPr>
        <c:crossAx val="559594816"/>
        <c:crosses val="autoZero"/>
        <c:auto val="1"/>
        <c:lblAlgn val="ctr"/>
        <c:lblOffset val="100"/>
        <c:noMultiLvlLbl val="0"/>
      </c:catAx>
      <c:valAx>
        <c:axId val="559594816"/>
        <c:scaling>
          <c:orientation val="minMax"/>
          <c:max val="5"/>
        </c:scaling>
        <c:delete val="0"/>
        <c:axPos val="l"/>
        <c:majorGridlines>
          <c:spPr>
            <a:ln w="9525" cap="flat" cmpd="sng" algn="ctr">
              <a:solidFill>
                <a:schemeClr val="dk1">
                  <a:lumMod val="15000"/>
                  <a:lumOff val="85000"/>
                  <a:alpha val="54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crossAx val="559584512"/>
        <c:crosses val="autoZero"/>
        <c:crossBetween val="between"/>
      </c:valAx>
      <c:spPr>
        <a:pattFill prst="ltDnDiag">
          <a:fgClr>
            <a:schemeClr val="dk1">
              <a:lumMod val="15000"/>
              <a:lumOff val="85000"/>
            </a:schemeClr>
          </a:fgClr>
          <a:bgClr>
            <a:schemeClr val="lt1"/>
          </a:bgClr>
        </a:patt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23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alpha val="54000"/>
          </a:schemeClr>
        </a:solidFill>
        <a:round/>
      </a:ln>
    </cs:spPr>
  </cs:gridlineMajor>
  <cs:gridlineMinor>
    <cs:lnRef idx="0"/>
    <cs:fillRef idx="0"/>
    <cs:effectRef idx="0"/>
    <cs:fontRef idx="minor">
      <a:schemeClr val="dk1"/>
    </cs:fontRef>
    <cs:spPr>
      <a:ln w="9525" cap="flat" cmpd="sng" algn="ctr">
        <a:solidFill>
          <a:schemeClr val="dk1">
            <a:lumMod val="15000"/>
            <a:lumOff val="85000"/>
            <a:alpha val="51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xdr:col>
      <xdr:colOff>752764</xdr:colOff>
      <xdr:row>1</xdr:row>
      <xdr:rowOff>207820</xdr:rowOff>
    </xdr:from>
    <xdr:to>
      <xdr:col>6</xdr:col>
      <xdr:colOff>912091</xdr:colOff>
      <xdr:row>13</xdr:row>
      <xdr:rowOff>11546</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3</xdr:col>
      <xdr:colOff>611909</xdr:colOff>
      <xdr:row>13</xdr:row>
      <xdr:rowOff>9236</xdr:rowOff>
    </xdr:to>
    <xdr:graphicFrame macro="">
      <xdr:nvGraphicFramePr>
        <xdr:cNvPr id="6" name="Chart">
          <a:extLst>
            <a:ext uri="{FF2B5EF4-FFF2-40B4-BE49-F238E27FC236}">
              <a16:creationId xmlns:a16="http://schemas.microsoft.com/office/drawing/2014/main" id="{00CDAFAC-B68D-944F-AABD-105509015A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1085273</xdr:colOff>
      <xdr:row>1</xdr:row>
      <xdr:rowOff>207820</xdr:rowOff>
    </xdr:from>
    <xdr:to>
      <xdr:col>10</xdr:col>
      <xdr:colOff>0</xdr:colOff>
      <xdr:row>13</xdr:row>
      <xdr:rowOff>11547</xdr:rowOff>
    </xdr:to>
    <xdr:graphicFrame macro="">
      <xdr:nvGraphicFramePr>
        <xdr:cNvPr id="7" name="Chart">
          <a:extLst>
            <a:ext uri="{FF2B5EF4-FFF2-40B4-BE49-F238E27FC236}">
              <a16:creationId xmlns:a16="http://schemas.microsoft.com/office/drawing/2014/main" id="{C4AE77B2-DB10-9B4E-B987-2BFB8BD8FE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57150</xdr:colOff>
      <xdr:row>2</xdr:row>
      <xdr:rowOff>190500</xdr:rowOff>
    </xdr:from>
    <xdr:to>
      <xdr:col>5</xdr:col>
      <xdr:colOff>1206500</xdr:colOff>
      <xdr:row>15</xdr:row>
      <xdr:rowOff>139700</xdr:rowOff>
    </xdr:to>
    <xdr:graphicFrame macro="">
      <xdr:nvGraphicFramePr>
        <xdr:cNvPr id="7" name="Chart 6">
          <a:extLst>
            <a:ext uri="{FF2B5EF4-FFF2-40B4-BE49-F238E27FC236}">
              <a16:creationId xmlns:a16="http://schemas.microsoft.com/office/drawing/2014/main" id="{866A7665-38E0-6320-3900-87E7A12C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2</xdr:row>
      <xdr:rowOff>177800</xdr:rowOff>
    </xdr:from>
    <xdr:to>
      <xdr:col>10</xdr:col>
      <xdr:colOff>1447800</xdr:colOff>
      <xdr:row>15</xdr:row>
      <xdr:rowOff>127000</xdr:rowOff>
    </xdr:to>
    <xdr:graphicFrame macro="">
      <xdr:nvGraphicFramePr>
        <xdr:cNvPr id="8" name="Chart 7">
          <a:extLst>
            <a:ext uri="{FF2B5EF4-FFF2-40B4-BE49-F238E27FC236}">
              <a16:creationId xmlns:a16="http://schemas.microsoft.com/office/drawing/2014/main" id="{47624350-9498-1C4D-9EC5-248ED8E9E8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obias Zwingmann" refreshedDate="46201.022724652779" createdVersion="8" refreshedVersion="8" minRefreshableVersion="3" recordCount="105" xr:uid="{59FAA077-54C3-334C-9F7A-CF520A465354}">
  <cacheSource type="worksheet">
    <worksheetSource name="Eval_Data"/>
  </cacheSource>
  <cacheFields count="18">
    <cacheField name="question" numFmtId="0">
      <sharedItems/>
    </cacheField>
    <cacheField name="expected_sources" numFmtId="0">
      <sharedItems/>
    </cacheField>
    <cacheField name="expected_source_count" numFmtId="0">
      <sharedItems containsSemiMixedTypes="0" containsString="0" containsNumber="1" containsInteger="1" minValue="0" maxValue="2"/>
    </cacheField>
    <cacheField name="expected_answer" numFmtId="0">
      <sharedItems longText="1"/>
    </cacheField>
    <cacheField name="eval_observed_output" numFmtId="0">
      <sharedItems longText="1"/>
    </cacheField>
    <cacheField name="eval_source_count" numFmtId="0">
      <sharedItems containsSemiMixedTypes="0" containsString="0" containsNumber="1" containsInteger="1" minValue="0" maxValue="1"/>
    </cacheField>
    <cacheField name="eval_source_names" numFmtId="0">
      <sharedItems containsSemiMixedTypes="0" containsString="0" containsNumber="1" minValue="0" maxValue="1"/>
    </cacheField>
    <cacheField name="eval_simple_correctness" numFmtId="0">
      <sharedItems containsSemiMixedTypes="0" containsString="0" containsNumber="1" containsInteger="1" minValue="1" maxValue="5"/>
    </cacheField>
    <cacheField name="eval_adv_correctness_score" numFmtId="0">
      <sharedItems containsSemiMixedTypes="0" containsString="0" containsNumber="1" containsInteger="1" minValue="1" maxValue="5"/>
    </cacheField>
    <cacheField name="eval_adv_correctness_erroneous" numFmtId="0">
      <sharedItems/>
    </cacheField>
    <cacheField name="eval_adv_correctness_missing" numFmtId="0">
      <sharedItems/>
    </cacheField>
    <cacheField name="eval_adv_correctness_unnecessary" numFmtId="0">
      <sharedItems/>
    </cacheField>
    <cacheField name="eval_adv_correctness_reasoning" numFmtId="0">
      <sharedItems longText="1"/>
    </cacheField>
    <cacheField name="eval_execution_details" numFmtId="0">
      <sharedItems count="7" longText="1">
        <s v="{&quot;id&quot;:&quot;14265&quot;,&quot;finished&quot;:false,&quot;mode&quot;:&quot;manual&quot;,&quot;retryOf&quot;:null,&quot;retrySuccessId&quot;:null,&quot;status&quot;:&quot;running&quot;,&quot;createdAt&quot;:&quot;2026-06-27T18:14:09.413Z&quot;,&quot;startedAt&quot;:&quot;2026-06-27T18:14:09.450Z&quot;,&quot;stoppedAt&quot;:null,&quot;deletedAt&quot;:null,&quot;workflowId&quot;:&quot;N20Npzd6xHWX7JZe&quot;,&quot;waitTill&quot;:null,&quot;storedAt&quot;:&quot;fs&quot;,&quot;tracingContext&quot;:null,&quot;deduplicationKey&quot;:null,&quot;jsonSizeBytes&quot;:26687,&quot;workflowVersionId&quot;:&quot;8d9eab21-76c6-412b-8b8d-17227f4edc29&quot;}"/>
        <s v="{&quot;id&quot;:&quot;14269&quot;,&quot;finished&quot;:false,&quot;mode&quot;:&quot;manual&quot;,&quot;retryOf&quot;:null,&quot;retrySuccessId&quot;:null,&quot;status&quot;:&quot;running&quot;,&quot;createdAt&quot;:&quot;2026-06-27T18:26:59.180Z&quot;,&quot;startedAt&quot;:&quot;2026-06-27T18:26:59.214Z&quot;,&quot;stoppedAt&quot;:null,&quot;deletedAt&quot;:null,&quot;workflowId&quot;:&quot;N20Npzd6xHWX7JZe&quot;,&quot;waitTill&quot;:null,&quot;storedAt&quot;:&quot;fs&quot;,&quot;tracingContext&quot;:null,&quot;deduplicationKey&quot;:null,&quot;jsonSizeBytes&quot;:27350,&quot;workflowVersionId&quot;:&quot;d3303b3f-9cfa-450f-9c90-450676d307ff&quot;}"/>
        <s v="{&quot;id&quot;:&quot;14270&quot;,&quot;finished&quot;:false,&quot;mode&quot;:&quot;manual&quot;,&quot;retryOf&quot;:null,&quot;retrySuccessId&quot;:null,&quot;status&quot;:&quot;running&quot;,&quot;createdAt&quot;:&quot;2026-06-27T18:33:42.247Z&quot;,&quot;startedAt&quot;:&quot;2026-06-27T18:33:42.280Z&quot;,&quot;stoppedAt&quot;:null,&quot;deletedAt&quot;:null,&quot;workflowId&quot;:&quot;N20Npzd6xHWX7JZe&quot;,&quot;waitTill&quot;:null,&quot;storedAt&quot;:&quot;fs&quot;,&quot;tracingContext&quot;:null,&quot;deduplicationKey&quot;:null,&quot;jsonSizeBytes&quot;:27407,&quot;workflowVersionId&quot;:&quot;0a9c4731-48ac-4301-aea0-ec08c1057aa3&quot;}"/>
        <s v="{&quot;id&quot;:&quot;14271&quot;,&quot;finished&quot;:false,&quot;mode&quot;:&quot;manual&quot;,&quot;retryOf&quot;:null,&quot;retrySuccessId&quot;:null,&quot;status&quot;:&quot;running&quot;,&quot;createdAt&quot;:&quot;2026-06-27T18:47:37.749Z&quot;,&quot;startedAt&quot;:&quot;2026-06-27T18:47:37.785Z&quot;,&quot;stoppedAt&quot;:null,&quot;deletedAt&quot;:null,&quot;workflowId&quot;:&quot;N20Npzd6xHWX7JZe&quot;,&quot;waitTill&quot;:null,&quot;storedAt&quot;:&quot;fs&quot;,&quot;tracingContext&quot;:null,&quot;deduplicationKey&quot;:null,&quot;jsonSizeBytes&quot;:27407,&quot;workflowVersionId&quot;:&quot;633a66d9-d771-44e9-af53-e21df6ab5e3b&quot;}"/>
        <s v="{&quot;id&quot;:&quot;14274&quot;,&quot;finished&quot;:false,&quot;mode&quot;:&quot;manual&quot;,&quot;retryOf&quot;:null,&quot;retrySuccessId&quot;:null,&quot;status&quot;:&quot;running&quot;,&quot;createdAt&quot;:&quot;2026-06-27T20:52:21.921Z&quot;,&quot;startedAt&quot;:&quot;2026-06-27T20:52:21.968Z&quot;,&quot;stoppedAt&quot;:null,&quot;deletedAt&quot;:null,&quot;workflowId&quot;:&quot;N20Npzd6xHWX7JZe&quot;,&quot;waitTill&quot;:null,&quot;storedAt&quot;:&quot;fs&quot;,&quot;tracingContext&quot;:null,&quot;deduplicationKey&quot;:null,&quot;jsonSizeBytes&quot;:27397,&quot;workflowVersionId&quot;:&quot;a3d53e38-fcb7-497d-a027-d5aae62eb0bc&quot;}"/>
        <s v="{&quot;id&quot;:&quot;14275&quot;,&quot;finished&quot;:false,&quot;mode&quot;:&quot;manual&quot;,&quot;retryOf&quot;:null,&quot;retrySuccessId&quot;:null,&quot;status&quot;:&quot;running&quot;,&quot;createdAt&quot;:&quot;2026-06-27T21:02:10.688Z&quot;,&quot;startedAt&quot;:&quot;2026-06-27T21:02:10.723Z&quot;,&quot;stoppedAt&quot;:null,&quot;deletedAt&quot;:null,&quot;workflowId&quot;:&quot;N20Npzd6xHWX7JZe&quot;,&quot;waitTill&quot;:null,&quot;storedAt&quot;:&quot;fs&quot;,&quot;tracingContext&quot;:null,&quot;deduplicationKey&quot;:null,&quot;jsonSizeBytes&quot;:27392,&quot;workflowVersionId&quot;:&quot;ae613d2a-937f-43f9-98c2-484f2e6fb3f6&quot;}"/>
        <s v="{&quot;id&quot;:&quot;14301&quot;,&quot;finished&quot;:false,&quot;mode&quot;:&quot;manual&quot;,&quot;retryOf&quot;:null,&quot;retrySuccessId&quot;:null,&quot;status&quot;:&quot;running&quot;,&quot;createdAt&quot;:&quot;2026-06-27T22:26:32.588Z&quot;,&quot;startedAt&quot;:&quot;2026-06-27T22:26:32.631Z&quot;,&quot;stoppedAt&quot;:null,&quot;deletedAt&quot;:null,&quot;workflowId&quot;:&quot;SO8s4sxN5Kwa4Xxd&quot;,&quot;waitTill&quot;:null,&quot;storedAt&quot;:&quot;fs&quot;,&quot;tracingContext&quot;:null,&quot;deduplicationKey&quot;:null,&quot;jsonSizeBytes&quot;:32531,&quot;workflowVersionId&quot;:&quot;9422bc26-a3d8-437a-8fbc-c73b020251e9&quot;}"/>
      </sharedItems>
    </cacheField>
    <cacheField name="id" numFmtId="0">
      <sharedItems containsSemiMixedTypes="0" containsString="0" containsNumber="1" containsInteger="1" minValue="8" maxValue="23" count="15">
        <n v="8"/>
        <n v="9"/>
        <n v="11"/>
        <n v="12"/>
        <n v="13"/>
        <n v="14"/>
        <n v="15"/>
        <n v="16"/>
        <n v="17"/>
        <n v="18"/>
        <n v="19"/>
        <n v="20"/>
        <n v="21"/>
        <n v="22"/>
        <n v="23"/>
      </sharedItems>
    </cacheField>
    <cacheField name="createdAt" numFmtId="0">
      <sharedItems/>
    </cacheField>
    <cacheField name="updatedAt" numFmtId="0">
      <sharedItems/>
    </cacheField>
    <cacheField name="Comment" numFmtId="0">
      <sharedItems count="6">
        <s v="GPT 5.5 Low"/>
        <s v="Gemini 3.5 Flash"/>
        <s v="GPT 5.4 mini high"/>
        <s v="GPT 5.4 nano high"/>
        <s v="GPT 5.5 High"/>
        <s v="Gemini 2.5 Flash Lite"/>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What login security is required for remote access and important applications?"/>
    <s v="Document 9: IT Usage and Security Policies"/>
    <n v="1"/>
    <s v="Multi-Factor Authentication (MFA)"/>
    <s v="Remote access and important applications require Multi-Factor Authentication._x000a__x000a_This means a second login step is required, such as:_x000a__x000a_- Authenticator app code_x000a_- Text message code_x000a__x000a_Strong passwords are also required for accounts.^1_x000a__x000a_Sources:  _x000a_- ^1 [Document 9_ IT Usage and Security Policies.txt](https://api.github.com/repos/tobiaszwingmann/lil-n8n-eval/contents/documents/Document%209_%20IT%20Usage%20and%20Security%20Policies.txt?ref=main)"/>
    <n v="1"/>
    <n v="0.97619047619047616"/>
    <n v="4"/>
    <n v="2"/>
    <b v="0"/>
    <b v="1"/>
    <b v="1"/>
    <s v="The answer discusses MFA with extra implementation details, but it omits the ground truth’s minimal phrase “Multi-Factor Authentication (MFA)”."/>
    <x v="0"/>
    <x v="0"/>
    <s v="2026-06-26T20:35:53.881Z"/>
    <s v="2026-06-27T18:14:18.152Z"/>
    <x v="0"/>
  </r>
  <r>
    <s v="What technique should you use to operate a fire extinguisher?"/>
    <s v="Document 10: Workplace Safety and Emergency Procedures"/>
    <n v="1"/>
    <s v="The PASS method: Pull the pin, Aim at the base, Squeeze the trigger, Sweep side to side"/>
    <s v="Use the PASS method:_x000a__x000a_- Pull the pin._x000a_- Aim at the base._x000a_- Squeeze the trigger._x000a_- Sweep side to side._x000a__x000a_Only use it if trained.  _x000a_Only fight very small fires.^1_x000a__x000a_Sources:  _x000a_- ^1 [Document 10_ Workplace Safety and Emergency Procedures.txt](https://api.github.com/repos/tobiaszwingmann/lil-n8n-eval/contents/documents/Document%2010_%20Workplace%20Safety%20and%20Emergency%20Procedures.txt?ref=main)"/>
    <n v="1"/>
    <n v="0.98148148148148151"/>
    <n v="4"/>
    <n v="4"/>
    <b v="0"/>
    <b v="0"/>
    <b v="1"/>
    <s v="The answer includes the correct PASS method steps, but adds extra statements not present in the ground truth."/>
    <x v="0"/>
    <x v="1"/>
    <s v="2026-06-26T20:35:53.881Z"/>
    <s v="2026-06-27T18:14:27.179Z"/>
    <x v="0"/>
  </r>
  <r>
    <s v="Where is the primary emergency assembly point during an evacuation?"/>
    <s v="Document 10: Workplace Safety and Emergency Procedures"/>
    <n v="1"/>
    <s v="The parking lot across the street"/>
    <s v="The primary assembly point is the parking lot across the street. It may also be a designated spot on the evacuation map.^1_x000a__x000a_Sources:  _x000a_- ^1 [Document 10_ Workplace Safety and Emergency Procedures.txt](https://api.github.com/repos/tobiaszwingmann/lil-n8n-eval/contents/documents/Document%2010_%20Workplace%20Safety%20and%20Emergency%20Procedures.txt?ref=main)"/>
    <n v="1"/>
    <n v="0.98148148148148151"/>
    <n v="4"/>
    <n v="4"/>
    <b v="0"/>
    <b v="0"/>
    <b v="1"/>
    <s v="The answer correctly states the parking lot across the street but adds an extra, not-in-ground-truth detail about a designated spot on the evacuation map."/>
    <x v="0"/>
    <x v="2"/>
    <s v="2026-06-26T20:35:53.881Z"/>
    <s v="2026-06-27T18:14:36.001Z"/>
    <x v="0"/>
  </r>
  <r>
    <s v="How often are employees paid?"/>
    <s v="Document 5: Compensation, Payroll, and Promotions"/>
    <n v="1"/>
    <s v="Every two weeks (bi-weekly), typically every other Friday"/>
    <s v="Employees are paid bi-weekly._x000a__x000a_This means every two weeks, typically every other Friday.^1_x000a__x000a_Sources:  _x000a_- ^1 [Document 5_ Compensation, Payroll, and Promotions.txt](https://api.github.com/repos/tobiaszwingmann/lil-n8n-eval/contents/documents/Document%205_%20Compensation,%20Payroll,%20and%20Promotions.txt?ref=main)"/>
    <n v="1"/>
    <n v="0.97959183673469385"/>
    <n v="5"/>
    <n v="5"/>
    <b v="0"/>
    <b v="0"/>
    <b v="0"/>
    <s v="The answer matches the ground truth statement about bi-weekly pay and typically every other Friday without adding extra content."/>
    <x v="0"/>
    <x v="3"/>
    <s v="2026-06-26T20:35:53.881Z"/>
    <s v="2026-06-27T18:14:43.983Z"/>
    <x v="0"/>
  </r>
  <r>
    <s v="Explain the process for requesting parental leave."/>
    <s v="Document 7: Leave and Time Off Policies"/>
    <n v="1"/>
    <s v="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
    <s v="To request parental leave:_x000a__x000a_- Inform HR as early as possible._x000a_- Give at least 30 days’ notice, if feasible._x000a_- Coordinate paperwork with HR._x000a_- Plan your absence with your manager._x000a_- Use HR forms if FMLA applies._x000a__x000a_Parental leave may be continuous after birth, adoption, or foster placement. It may also be flexible within the first year, with manager approval.^1_x000a__x000a_Sources:  _x000a_- ^1 [Document 7_ Leave and Time Off Policies.txt](https://api.github.com/repos/tobiaszwingmann/lil-n8n-eval/contents/documents/Document%207_%20Leave%20and%20Time%20Off%20Policies.txt?ref=main)"/>
    <n v="1"/>
    <n v="0.97435897435897434"/>
    <n v="2"/>
    <n v="3"/>
    <b v="0"/>
    <b v="1"/>
    <b v="0"/>
    <s v="The answer omits the caregiver eligibility details (primary vs secondary), paid/unpaid split, and the unpaid/vacation coverage information from the ground truth."/>
    <x v="0"/>
    <x v="4"/>
    <s v="2026-06-26T20:35:53.881Z"/>
    <s v="2026-06-27T18:14:53.205Z"/>
    <x v="0"/>
  </r>
  <r>
    <s v="Walk me through the steps of the annual performance review."/>
    <s v="Document 8: Performance Reviews and Career Development"/>
    <n v="1"/>
    <s v="Goals are set at the start of the year. The annual review (year-end, with a mid-year check-in) includes a self-assessment, a manager evaluation against goals, optional 360-degree feedback, a one-on-one review meeting, and a rating/outcome that can influence merit increases or bonuses."/>
    <s v="The annual performance review includes these steps:_x000a__x000a_1. **Set goals early.**  _x000a_   You and your manager set SMART goals.^1_x000a__x000a_2. **Complete self-assessment.**  _x000a_   Reflect on achievements and growth areas.^1_x000a__x000a_3. **Manager evaluation happens.**  _x000a_   Your manager reviews goals and expectations.^1_x000a__x000a_4. **360 feedback may occur.**  _x000a_   Peers may provide feedback, if applicable.^1_x000a__x000a_5. **Attend review meeting.**  _x000a_   Discuss feedback, accomplishments, and aspirations.^1_x000a__x000a_6. **Receive rating and outcome.**  _x000a_   Ratings may affect merit pay or bonuses.^1_x000a__x000a_7. **Plan future development.**  _x000a_   Discuss skills, responsibilities, and career goals.^1_x000a__x000a_Sources:  _x000a_- ^1 [Document 8_ Performance Reviews and Career Development.txt](https://api.github.com/repos/tobiaszwingmann/lil-n8n-eval/contents/documents/Document%208_%20Performance%20Reviews%20and%20Career%20Development.txt?ref=main)"/>
    <n v="1"/>
    <n v="0.98148148148148151"/>
    <n v="3"/>
    <n v="3"/>
    <b v="0"/>
    <b v="1"/>
    <b v="1"/>
    <s v="The answer matches most elements but omits the ground-truth timing details (start-of-year goal setting and mid-year check-in) and adds extra scope like SMART goals and an emphasis on peers being applicable without explicitly stating 360-degree feedback as optional in the same terms."/>
    <x v="0"/>
    <x v="5"/>
    <s v="2026-06-26T20:35:53.881Z"/>
    <s v="2026-06-27T18:15:04.406Z"/>
    <x v="0"/>
  </r>
  <r>
    <s v="Summarize who is eligible to work remotely and what is expected of them."/>
    <s v="Document 3: General Employment Policies"/>
    <n v="1"/>
    <s v="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
    <s v="Remote work eligibility depends on role and team needs. Many roles may work remotely part-time or full-time. Eligible employees should confirm details with their manager, including office and home days.^1_x000a__x000a_Remote employees are expected to:_x000a__x000a_- Have a proper workspace._x000a_- Maintain reliable internet._x000a_- Stay available online._x000a_- Attend required meetings._x000a_- Meet productivity expectations._x000a_- Follow department hybrid guidelines._x000a_- Use company equipment responsibly._x000a_- Follow IT security requirements.^1 ^2_x000a__x000a_Remote setup support may include a stipend or company equipment. Special equipment needs should be discussed with IT or HR.^1 ^2_x000a__x000a_Sources:  _x000a_- ^1 [Document 3_ General Employment Policies.txt](https://api.github.com/repos/tobiaszwingmann/lil-n8n-eval/contents/documents/Document%203_%20General%20Employment%20Policies.txt?ref=main)  _x000a_- ^2 [Document 9_ IT Usage and Security Policies.txt](https://api.github.com/repos/tobiaszwingmann/lil-n8n-eval/contents/documents/Document%209_%20IT%20Usage%20and%20Security%20Policies.txt?ref=main)"/>
    <n v="0"/>
    <n v="0.45238095238095233"/>
    <n v="4"/>
    <n v="4"/>
    <b v="0"/>
    <b v="0"/>
    <b v="1"/>
    <s v="The answer is accurate and complete relative to the ground truth but adds extra policy details not present in the reference."/>
    <x v="0"/>
    <x v="6"/>
    <s v="2026-06-26T20:35:53.881Z"/>
    <s v="2026-06-27T18:15:18.324Z"/>
    <x v="0"/>
  </r>
  <r>
    <s v="What should a new hire expect on their first day?"/>
    <s v="Document 2: Onboarding Process and New Hire Orientation"/>
    <n v="1"/>
    <s v="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
    <s v="A new hire should expect this on day one:_x000a__x000a_- Arrive at the front desk by 9:00 AM._x000a_- Meet HR for orientation._x000a_- Complete remaining new hire paperwork._x000a_- Receive an ID badge._x000a_- Take an office or virtual tour._x000a_- Get equipment and system access._x000a_- Review key company policies._x000a_- Learn about benefits enrollment._x000a_- Ask initial questions._x000a_- Meet a buddy or mentor._x000a_- Likely have a welcome lunch.^1_x000a__x000a_Sources:  _x000a_- ^1 [Document 2_ Onboarding Process and New Hire Orientation.txt](https://api.github.com/repos/tobiaszwingmann/lil-n8n-eval/contents/documents/Document%202_%20Onboarding%20Process%20and%20New%20Hire%20Orientation.txt?ref=main)"/>
    <n v="1"/>
    <n v="0.98181818181818181"/>
    <n v="4"/>
    <n v="5"/>
    <b v="0"/>
    <b v="0"/>
    <b v="0"/>
    <s v="The answer lists the same day-one onboarding items as the ground truth with no added or omitted key facts."/>
    <x v="0"/>
    <x v="7"/>
    <s v="2026-06-26T20:35:53.881Z"/>
    <s v="2026-06-27T18:15:28.698Z"/>
    <x v="0"/>
  </r>
  <r>
    <s v="For a birth mother, how does paid parental leave coordinate with short-term disability?"/>
    <s v="Document 6: Employee Benefits and Perks | Document 7: Leave and Time Off Policies"/>
    <n v="2"/>
    <s v="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
    <s v="For a birth mother, parental leave is separate from short-term disability._x000a__x000a_- Parental leave allows up to 12 weeks._x000a_- 6 weeks are fully paid._x000a_- Remaining 6 weeks are unpaid._x000a_- Accrued vacation may be used._x000a_- STD typically covers 6–8 recovery weeks._x000a_- STD runs concurrently with parental leave.^1_x000a__x000a_Short-term disability pays part of salary when unable to work due to illness or injury. It generally lasts up to 13 weeks.^2_x000a__x000a_Sources:  _x000a_- ^1 [Document 7_ Leave and Time Off Policies.txt](https://api.github.com/repos/tobiaszwingmann/lil-n8n-eval/contents/documents/Document%207_%20Leave%20and%20Time%20Off%20Policies.txt?ref=main)  _x000a_- ^2 [Document 6_ Employee Benefits and Perks.txt](https://api.github.com/repos/tobiaszwingmann/lil-n8n-eval/contents/documents/Document%206_%20Employee%20Benefits%20and%20Perks.txt?ref=main)"/>
    <n v="1"/>
    <n v="0.97530864197530864"/>
    <n v="3"/>
    <n v="3"/>
    <b v="0"/>
    <b v="1"/>
    <b v="1"/>
    <s v="The answer matches the reference on leave length, pay, STD recovery window, concurrency, and duration, but omits that STD is company-paid/replaces salary portion and guidance to coordinate with HR while adding extra claim that STD “runs concurrently with parental leave” is covered but the HR coordination is missing and some details like “accrued vacation may be used” and “separate” are beyond the reference scope."/>
    <x v="0"/>
    <x v="8"/>
    <s v="2026-06-26T20:35:53.881Z"/>
    <s v="2026-06-27T18:15:41.421Z"/>
    <x v="0"/>
  </r>
  <r>
    <s v="If I am out sick longer than my paid sick days, what covers my income?"/>
    <s v="Document 6: Employee Benefits and Perks | Document 7: Leave and Time Off Policies"/>
    <n v="2"/>
    <s v="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
    <s v="If paid sick leave runs out, income may be covered by disability insurance._x000a__x000a_Short-Term Disability pays part of your salary. It applies if illness or injury prevents work. It generally lasts up to 13 weeks. Long-Term Disability may continue income after that period. Basic disability coverage is company-paid.^1_x000a__x000a_You may also request unpaid leave if paid leave is exhausted. During unpaid leave, benefits may be affected.^2_x000a__x000a_Sources:  _x000a_- ^1 [Document 6_ Employee Benefits and Perks.txt](https://api.github.com/repos/tobiaszwingmann/lil-n8n-eval/contents/documents/Document%206_%20Employee%20Benefits%20and%20Perks.txt?ref=main)  _x000a_- ^2 [Document 7_ Leave and Time Off Policies.txt](https://api.github.com/repos/tobiaszwingmann/lil-n8n-eval/contents/documents/Document%207_%20Leave%20and%20Time%20Off%20Policies.txt?ref=main)"/>
    <n v="1"/>
    <n v="0.97530864197530864"/>
    <n v="3"/>
    <n v="3"/>
    <b v="0"/>
    <b v="1"/>
    <b v="1"/>
    <s v="The answer mentions disability coverage but omits the ground-truth specifics about 10 paid sick days per year and unnecessarily adds details about unpaid leave and benefit effects not in the reference."/>
    <x v="0"/>
    <x v="9"/>
    <s v="2026-06-26T20:35:53.881Z"/>
    <s v="2026-06-27T18:15:53.519Z"/>
    <x v="0"/>
  </r>
  <r>
    <s v="How do the remote-work policy and IT equipment support work together for a home office?"/>
    <s v="Document 3: General Employment Policies | Document 9: IT Usage and Security Policies"/>
    <n v="2"/>
    <s v="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
    <s v="Available policy files included Documents 1–10.  _x000a_Most relevant were Documents 3, 6, and 9._x000a__x000a_Remote work requires:  _x000a_- Eligible role approval.  _x000a_- Manager-agreed schedule.  _x000a_- Proper home workspace.  _x000a_- Reliable internet.  _x000a_- Full engagement during work hours. ^1_x000a__x000a_IT support complements this by providing needed equipment.  _x000a_This may include laptops, monitors, phones, or peripherals.  _x000a_Remote employees with special needs should contact IT/HR.  _x000a_Support may be reimbursement or additional equipment. ^2_x000a__x000a_Home office equipment rules:  _x000a_- Use primarily for business.  _x000a_- Keep devices secure.  _x000a_- Avoid unauthorized software.  _x000a_- Report loss or damage immediately.  _x000a_- Use MFA for remote access. ^2_x000a__x000a_Flexible work is also listed as an employee perk.  _x000a_It supports remote work where possible. ^3_x000a__x000a_Sources:  _x000a_- ^1 [Document 3_ General Employment Policies.txt](https://api.github.com/repos/tobiaszwingmann/lil-n8n-eval/contents/documents/Document%203_%20General%20Employment%20Policies.txt?ref=main)  _x000a_- ^2 [Document 9_ IT Usage and Security Policies.txt](https://api.github.com/repos/tobiaszwingmann/lil-n8n-eval/contents/documents/Document%209_%20IT%20Usage%20and%20Security%20Policies.txt?ref=main)  _x000a_- ^3 [Document 6_ Employee Benefits and Perks.txt](https://api.github.com/repos/tobiaszwingmann/lil-n8n-eval/contents/documents/Document%206_%20Employee%20Benefits%20and%20Perks.txt?ref=main)"/>
    <n v="0"/>
    <n v="0.65079365079365081"/>
    <n v="3"/>
    <n v="3"/>
    <b v="0"/>
    <b v="1"/>
    <b v="1"/>
    <s v="The answer includes mostly true remote-work requirements and equipment support but omits the key points about remote/hybrid eligibility, manager arrangement, stipend/reimbursement details for peripherals like printers, and explicitly notes that personal laptops are generally not allowed (instead it mentions IT complements with equipment without that prohibition)."/>
    <x v="0"/>
    <x v="10"/>
    <s v="2026-06-26T20:35:53.881Z"/>
    <s v="2026-06-27T18:16:08.838Z"/>
    <x v="0"/>
  </r>
  <r>
    <s v="How are annual performance reviews connected to pay raises and bonuses?"/>
    <s v="Document 5: Compensation, Payroll, and Promotions | Document 8: Performance Reviews and Career Development"/>
    <n v="2"/>
    <s v="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
    <s v="Annual reviews can affect raises and bonuses._x000a__x000a_- Reviews may influence merit increases._x000a_- Reviews may influence bonuses._x000a_- Raises use performance ratings._x000a_- Raises also use market benchmarks._x000a_- Raises depend on company budget._x000a_- Bonuses depend on company targets._x000a_- Bonuses also depend on personal performance._x000a_- Bonuses are not guaranteed.^1 ^2_x000a__x000a_Sources:  _x000a_- ^1 [Document 8_ Performance Reviews and Career Development.txt](https://api.github.com/repos/tobiaszwingmann/lil-n8n-eval/contents/documents/Document%208_%20Performance%20Reviews%20and%20Career%20Development.txt?ref=main)  _x000a_- ^2 [Document 5_ Compensation, Payroll, and Promotions.txt](https://api.github.com/repos/tobiaszwingmann/lil-n8n-eval/contents/documents/Document%205_%20Compensation,%20Payroll,%20and%20Promotions.txt?ref=main)"/>
    <n v="1"/>
    <n v="0.98113207547169812"/>
    <n v="2"/>
    <n v="3"/>
    <b v="0"/>
    <b v="1"/>
    <b v="1"/>
    <s v="The answer correctly states that reviews affect merit increases/bonuses but omits the mid-year check-in and promotions link, and includes extra qualifiers like “not guaranteed.”"/>
    <x v="0"/>
    <x v="11"/>
    <s v="2026-06-26T20:35:53.881Z"/>
    <s v="2026-06-27T18:16:22.116Z"/>
    <x v="0"/>
  </r>
  <r>
    <s v="Does ABC Inc offer pet insurance as an employee benefit?"/>
    <s v="NA"/>
    <n v="0"/>
    <s v="This is not addressed anywhere in the handbook."/>
    <s v="No. Pet insurance is not listed as an employee benefit. Listed benefits include health insurance, HSA/FSA, life insurance, disability insurance, mental health support, 401(k), PTO, and additional perks.^1_x000a__x000a_Sources:  _x000a_- ^1 [Document 6_ Employee Benefits and Perks.txt](https://api.github.com/repos/tobiaszwingmann/lil-n8n-eval/contents/documents/Document%206_%20Employee%20Benefits%20and%20Perks.txt?ref=main)"/>
    <n v="0"/>
    <n v="0"/>
    <n v="2"/>
    <n v="3"/>
    <b v="0"/>
    <b v="1"/>
    <b v="0"/>
    <s v="The answer asserts specific benefit-list details, but the ground truth only states that pet insurance is not addressed anywhere in the handbook."/>
    <x v="0"/>
    <x v="12"/>
    <s v="2026-06-26T20:35:53.881Z"/>
    <s v="2026-06-27T18:16:31.622Z"/>
    <x v="0"/>
  </r>
  <r>
    <s v="What is the company's sabbatical leave policy?"/>
    <s v="NA"/>
    <n v="0"/>
    <s v="This is not addressed anywhere in the handbook; the leave policy covers vacation, sick, personal, parental, bereavement, jury, military, and unpaid leave only."/>
    <s v="I’m sorry, I can’t answer that. Please contact HR."/>
    <n v="0"/>
    <n v="1"/>
    <n v="3"/>
    <n v="1"/>
    <b v="0"/>
    <b v="1"/>
    <b v="0"/>
    <s v="The response does not provide the handbook-based coverage information stated in the ground truth and instead gives an unrelated refusal to answer."/>
    <x v="0"/>
    <x v="13"/>
    <s v="2026-06-26T20:35:53.881Z"/>
    <s v="2026-06-27T18:16:39.813Z"/>
    <x v="0"/>
  </r>
  <r>
    <s v="What is the dress code?"/>
    <s v="Document 3: General Employment Policies"/>
    <n v="1"/>
    <s v="Business casual - e.g., collared shirts, blouses, slacks or neat jeans, and closed-toe shoes. Fridays are casual (jeans and sneakers welcome). Remote staff may dress more casually but should be presentable for video meetings."/>
    <s v="Our dress code is business-casual.^1_x000a__x000a_- Professional but comfortable clothing._x000a_- Collared shirts and blouses are fine._x000a_- Slacks or neat jeans are fine._x000a_- Closed-toe shoes are generally fine._x000a_- Fridays allow jeans and sneakers._x000a_- Remote workers may dress casually._x000a_- Be presentable for video meetings._x000a_- Some teams may have specific requirements._x000a__x000a_Sources:  _x000a_- ^1 [Document 3_ General Employment Policies.txt](https://api.github.com/repos/tobiaszwingmann/lil-n8n-eval/contents/documents/Document%203_%20General%20Employment%20Policies.txt?ref=main)"/>
    <n v="1"/>
    <n v="0.97435897435897434"/>
    <n v="4"/>
    <n v="4"/>
    <b v="0"/>
    <b v="0"/>
    <b v="1"/>
    <s v="The response matches all key ground-truth facts but adds extra details about team-specific requirements and generic categories beyond what the reference states."/>
    <x v="0"/>
    <x v="14"/>
    <s v="2026-06-26T20:35:53.881Z"/>
    <s v="2026-06-27T18:16:48.788Z"/>
    <x v="0"/>
  </r>
  <r>
    <s v="What login security is required for remote access and important applications?"/>
    <s v="Document 9: IT Usage and Security Policies"/>
    <n v="1"/>
    <s v="Multi-Factor Authentication (MFA)"/>
    <s v="Calling Download_File with input: {&quot;URL&quot;:&quot;https://raw.githubusercontent.com/tobiaszwingmann/lil-n8n-eval/main/documents/Document%209_%20IT%20Usage%20and%20Security%20Policies.txt?token=AJJHWK3EBNVKNM5XPPURKOLKIALDDAA&quot;}"/>
    <n v="1"/>
    <n v="0"/>
    <n v="1"/>
    <n v="1"/>
    <b v="0"/>
    <b v="1"/>
    <b v="1"/>
    <s v="The output does not mention the ground-truth topic (“Multi-Factor Authentication (MFA)”) and instead includes an unrelated download log line."/>
    <x v="1"/>
    <x v="0"/>
    <s v="Fri Jun 26 2026 20:35:53 GMT+0000 (Coordinated Universal Time)"/>
    <s v="Sat Jun 27 2026 18:27:08 GMT+0000 (Coordinated Universal Time)"/>
    <x v="1"/>
  </r>
  <r>
    <s v="What technique should you use to operate a fire extinguisher?"/>
    <s v="Document 10: Workplace Safety and Emergency Procedures"/>
    <n v="1"/>
    <s v="The PASS method: Pull the pin, Aim at the base, Squeeze the trigger, Sweep side to side"/>
    <s v="To operate a fire extinguisher, use the **PASS** method:_x000a_*   **P**ull the pin._x000a_*   **A**im at the base of the fire._x000a_*   **S**queeze the trigger._x000a_*   **S**weep from side to side.^1_x000a__x000a_This technique should only be used on very small fires by trained individuals.^1_x000a__x000a_Sources:_x000a_- ^1 [Document 10_ Workplace Safety and Emergency Procedures.txt](https://raw.githubusercontent.com/tobiaszwingmann/lil-n8n-eval/main/documents/Document%2010_%20Workplace%20Safety%20and%20Emergency%20Procedures.txt?token=AJJHWKYLJFIZBA3XXTFMY2TKIALDVAA)"/>
    <n v="1"/>
    <n v="0.98148148148148151"/>
    <n v="4"/>
    <n v="4"/>
    <b v="0"/>
    <b v="0"/>
    <b v="1"/>
    <s v="The answer correctly states the PASS method steps but adds extra, out-of-scope qualifiers about use on small fires and cites a source."/>
    <x v="1"/>
    <x v="1"/>
    <s v="Fri Jun 26 2026 20:35:53 GMT+0000 (Coordinated Universal Time)"/>
    <s v="Sat Jun 27 2026 18:27:18 GMT+0000 (Coordinated Universal Time)"/>
    <x v="1"/>
  </r>
  <r>
    <s v="Where is the primary emergency assembly point during an evacuation?"/>
    <s v="Document 10: Workplace Safety and Emergency Procedures"/>
    <n v="1"/>
    <s v="The parking lot across the street"/>
    <s v="Calling Download_File with input: {&quot;URL&quot;:&quot;https://raw.githubusercontent.com/tobiaszwingmann/lil-n8n-eval/main/documents/Document%2010_%20Workplace%20Safety%20and%20Emergency%20Procedures.txt?token=AJJHWK2PRGAJLX3FSMGTM53KIALEJAA&quot;}"/>
    <n v="1"/>
    <n v="0"/>
    <n v="1"/>
    <n v="1"/>
    <b v="0"/>
    <b v="1"/>
    <b v="1"/>
    <s v="The output does not include the ground-truth text and instead provides an unrelated function-call snippet."/>
    <x v="1"/>
    <x v="2"/>
    <s v="Fri Jun 26 2026 20:35:53 GMT+0000 (Coordinated Universal Time)"/>
    <s v="Sat Jun 27 2026 18:27:26 GMT+0000 (Coordinated Universal Time)"/>
    <x v="1"/>
  </r>
  <r>
    <s v="How often are employees paid?"/>
    <s v="Document 5: Compensation, Payroll, and Promotions"/>
    <n v="1"/>
    <s v="Every two weeks (bi-weekly), typically every other Friday"/>
    <s v="Employees are paid on a bi-weekly schedule^1. Paychecks are issued every two weeks, typically every other Friday^1._x000a__x000a_Sources:_x000a_- ^1 [Document 5_ Compensation, Payroll, and Promotions.txt](https://api.github.com/repos/tobiaszwingmann/lil-n8n-eval/contents/documents/Document%205_%20Compensation,%20Payroll,%20and%20Promotions.txt?ref=main)"/>
    <n v="1"/>
    <n v="0.97959183673469385"/>
    <n v="5"/>
    <n v="4"/>
    <b v="0"/>
    <b v="0"/>
    <b v="1"/>
    <s v="The answer correctly states the bi-weekly cadence and “every other Friday,” but it adds an extra reference/source block not present in the ground truth scope."/>
    <x v="1"/>
    <x v="3"/>
    <s v="Fri Jun 26 2026 20:35:53 GMT+0000 (Coordinated Universal Time)"/>
    <s v="Sat Jun 27 2026 18:27:34 GMT+0000 (Coordinated Universal Time)"/>
    <x v="1"/>
  </r>
  <r>
    <s v="Explain the process for requesting parental leave."/>
    <s v="Document 7: Leave and Time Off Policies"/>
    <n v="1"/>
    <s v="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
    <s v="To request parental leave, please follow these steps:_x000a__x000a_*   Inform HR at least 30 days in advance when feasible.^1_x000a_*   Work with HR to complete all necessary forms.^1_x000a_*   Coordinate paperwork and absence planning with the HR team.^1_x000a_*   Obtain manager approval for flexible leave arrangements.^1_x000a_*   Submit the formal request through the company’s HR system.^1_x000a__x000a_If you have additional questions, please contact HR._x000a__x000a_Sources: _x000a_- ^1 [Document 7_ Leave and Time Off Policies.txt](https://raw.githubusercontent.com/tobiaszwingmann/lil-n8n-eval/main/documents/Document%207_%20Leave%20and%20Time%20Off%20Policies.txt?token=AJJHWKZN3EU7EA6NN4WH323KIALFJAA)"/>
    <n v="1"/>
    <n v="0.97435897435897434"/>
    <n v="3"/>
    <n v="3"/>
    <b v="0"/>
    <b v="1"/>
    <b v="1"/>
    <s v="The answer gives procedural steps but omits key eligibility/pay details and FMLA paperwork information while adding approval and HR-system submission steps not in the reference."/>
    <x v="1"/>
    <x v="4"/>
    <s v="Fri Jun 26 2026 20:35:53 GMT+0000 (Coordinated Universal Time)"/>
    <s v="Sat Jun 27 2026 18:27:46 GMT+0000 (Coordinated Universal Time)"/>
    <x v="1"/>
  </r>
  <r>
    <s v="Walk me through the steps of the annual performance review."/>
    <s v="Document 8: Performance Reviews and Career Development"/>
    <n v="1"/>
    <s v="Goals are set at the start of the year. The annual review (year-end, with a mid-year check-in) includes a self-assessment, a manager evaluation against goals, optional 360-degree feedback, a one-on-one review meeting, and a rating/outcome that can influence merit increases or bonuses."/>
    <s v="The annual performance review follows these steps:_x000a__x000a_*   **Goal Setting:** Set SMART goals annually with your manager.^1_x000a_*   **Ongoing Feedback:** Regular check-ins and mid-year reviews occur.^1_x000a_*   **Self-Assessment:** Complete a self-review of achievements and goals.^1_x000a_*   **Manager Evaluation:** Manager evaluates performance against role expectations.^1_x000a_*   **360-Degree Feedback:** Peer feedback may be gathered if applicable.^1_x000a_*   **Review Meeting:** Discuss evaluation details one-on-one with your manager.^1_x000a_*   **Rating and Outcome:** Performance ratings can influence merit pay increases.^1_x000a__x000a_Sources:_x000a_- ^1 [Document 8_ Performance Reviews and Career Development.txt](https://raw.githubusercontent.com/tobiaszwingmann/lil-n8n-eval/main/documents/Document%208_%20Performance%20Reviews%20and%20Career%20Development.txt?token=AJJHWK3UDTHTK36O6PUYEO3KIALGBAA)"/>
    <n v="1"/>
    <n v="0.98148148148148151"/>
    <n v="3"/>
    <n v="5"/>
    <b v="0"/>
    <b v="0"/>
    <b v="0"/>
    <s v="The answer accurately matches the ground truth steps and timing, with no extra or incorrect facts."/>
    <x v="1"/>
    <x v="5"/>
    <s v="Fri Jun 26 2026 20:35:53 GMT+0000 (Coordinated Universal Time)"/>
    <s v="Sat Jun 27 2026 18:27:59 GMT+0000 (Coordinated Universal Time)"/>
    <x v="1"/>
  </r>
  <r>
    <s v="Summarize who is eligible to work remotely and what is expected of them."/>
    <s v="Document 3: General Employment Policies"/>
    <n v="1"/>
    <s v="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
    <s v="Based on our HR policies, remote work eligibility and expectations are as follows:_x000a__x000a_### Eligibility_x000a_*   Depends on role and team needs.^1_x000a_*   Discussed with your manager.^1_x000a_*   Can be part-time or full-time.^1_x000a__x000a_### Expectations_x000a_*   Maintain a proper workspace and reliable internet.^1_x000a_*   Stay fully engaged and available during work hours.^1_x000a_*   Attend all scheduled meetings.^1_x000a_*   Meet productivity expectations similar to in-office staff.^1_x000a_*   Dress presentably for video meetings.^1_x000a_*   Use company equipment primarily for business purposes.^2_x000a_*   Keep company property secure and handle it with care.^1 ^2_x000a_*   Use Multi-Factor Authentication (MFA) for remote access.^2_x000a_*   Report lost or stolen equipment to IT immediately.^2_x000a__x000a_I’m sorry, if you need more specific details about your role's eligibility, please contact HR._x000a__x000a_**Sources:**_x000a_- ^1 [Document 3_ General Employment Policies.txt](https://raw.githubusercontent.com/tobiaszwingmann/lil-n8n-eval/main/documents/Document%203_%20General%20Employment%20Policies.txt?token=AJJHWKZRIDMBQQQET7JR2K3KIALGZAA)_x000a_- ^2 [Document 9_ IT Usage and Security Policies.txt](https://raw.githubusercontent.com/tobiaszwingmann/lil-n8n-eval/main/documents/Document%209_%20IT%20Usage%20and%20Security%20Policies.txt?token=AJJHWKY6H5POJUNXX7PSYQDKIALGZAA)"/>
    <n v="1"/>
    <n v="0"/>
    <n v="4"/>
    <n v="4"/>
    <b v="0"/>
    <b v="0"/>
    <b v="1"/>
    <s v="The answer matches the ground-truth requirements for remote/hybrid eligibility and core expectations, but includes additional HR/IT items not present in the reference."/>
    <x v="1"/>
    <x v="6"/>
    <s v="Fri Jun 26 2026 20:35:53 GMT+0000 (Coordinated Universal Time)"/>
    <s v="Sat Jun 27 2026 18:28:14 GMT+0000 (Coordinated Universal Time)"/>
    <x v="1"/>
  </r>
  <r>
    <s v="What should a new hire expect on their first day?"/>
    <s v="Document 2: Onboarding Process and New Hire Orientation"/>
    <n v="1"/>
    <s v="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
    <s v="Calling Download_File with input: {&quot;URL&quot;:&quot;https://raw.githubusercontent.com/tobiaszwingmann/lil-n8n-eval/main/documents/Document%202_%20Onboarding%20Process%20and%20New%20Hire%20Orientation.txt?token=AJJHWK7VKX25T4D6XMLYYHDKIALHZAA&quot;}"/>
    <n v="1"/>
    <n v="1.8181818181818188E-2"/>
    <n v="1"/>
    <n v="1"/>
    <b v="0"/>
    <b v="1"/>
    <b v="1"/>
    <s v="The output only logs a function call with a URL and does not include the onboarding process steps from the ground truth, while adding unrelated call details."/>
    <x v="1"/>
    <x v="7"/>
    <s v="Fri Jun 26 2026 20:35:53 GMT+0000 (Coordinated Universal Time)"/>
    <s v="Sat Jun 27 2026 18:28:21 GMT+0000 (Coordinated Universal Time)"/>
    <x v="1"/>
  </r>
  <r>
    <s v="For a birth mother, how does paid parental leave coordinate with short-term disability?"/>
    <s v="Document 6: Employee Benefits and Perks | Document 7: Leave and Time Off Policies"/>
    <n v="2"/>
    <s v="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
    <s v="For a birth mother, paid parental leave coordinates with short-term disability as follows:_x000a__x000a_*   **Total Leave Duration**: Birth mothers are eligible for up to 12 weeks of leave.^1_x000a_*   **Company Pay**: The company provides six weeks of fully paid parental leave.^1_x000a_*   **STD Coverage**: Short-term disability (STD) typically covers 6-8 weeks of medical recovery.^1_x000a_*   **Concurrent Benefit**: Parental leave and STD benefits run concurrently.^1_x000a_*   **Supplemental Options**: Remaining weeks can be unpaid or covered by accrued vacation.^1_x000a_*   **Disability Pay**: STD insurance pays a portion of your salary during recovery.^2_x000a__x000a_Sources:_x000a_- ^1 [Document 7_ Leave and Time Off Policies.txt](https://raw.githubusercontent.com/tobiaszwingmann/lil-n8n-eval/main/documents/Document%207_%20Leave%20and%20Time%20Off%20Policies.txt)_x000a_- ^2 [Document 6_ Employee Benefits and Perks.txt](https://raw.githubusercontent.com/tobiaszwingmann/lil-n8n-eval/main/documents/Document%206_%20Employee%20Benefits%20and%20Perks.txt)"/>
    <n v="1"/>
    <n v="0.97530864197530864"/>
    <n v="3"/>
    <n v="3"/>
    <b v="0"/>
    <b v="1"/>
    <b v="1"/>
    <s v="The answer is accurate but omits the “company-paid up to ~13 weeks” detail and HR coordination, and includes some extra/uncited phrasing like supplemental unpaid/vacation options and a generic “disability pay” statement beyond the reference."/>
    <x v="1"/>
    <x v="8"/>
    <s v="Fri Jun 26 2026 20:35:53 GMT+0000 (Coordinated Universal Time)"/>
    <s v="Sat Jun 27 2026 18:28:50 GMT+0000 (Coordinated Universal Time)"/>
    <x v="1"/>
  </r>
  <r>
    <s v="If I am out sick longer than my paid sick days, what covers my income?"/>
    <s v="Document 6: Employee Benefits and Perks | Document 7: Leave and Time Off Policies"/>
    <n v="2"/>
    <s v="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
    <s v="If you exhaust your 10 days of paid sick leave, your income may be covered by disability insurance.^1 Short-Term Disability (STD) pays a portion of your salary for up to 13 weeks.^1 For extended periods, Long-Term Disability (LTD) provides continued income protection.^1 You can also request an unpaid leave of absence if needed.^2_x000a__x000a_*   Paid sick leave is 10 days._x000a_*   STD pays a portion of salary._x000a_*   STD coverage lasts up to 13 weeks._x000a_*   LTD covers longer serious health conditions._x000a_*   Unpaid leave of absence is an option._x000a__x000a_Sources:_x000a_- ^1 [Document 6_ Employee Benefits and Perks.txt](https://raw.githubusercontent.com/tobiaszwingmann/lil-n8n-eval/main/documents/Document%206_%20Employee%20Benefits%20and%20Perks.txt?token=AJJHWK6MMJ4XSTCUTVWSBJLKIALJ7AA)_x000a_- ^2 [Document 7_ Leave and Time Off Policies.txt](https://raw.githubusercontent.com/tobiaszwingmann/lil-n8n-eval/main/documents/Document%207_%20Leave%20and%20Time%20Off%20Policies.txt?token=AJJHWK3YNUR525LZNXBC3DLKIALJ7AA)"/>
    <n v="1"/>
    <n v="0.97530864197530864"/>
    <n v="4"/>
    <n v="5"/>
    <b v="0"/>
    <b v="0"/>
    <b v="0"/>
    <s v="The answer accurately states the ground-truth facts about 10 paid sick days and how STD and LTD cover longer absences, without adding unsupported claims."/>
    <x v="1"/>
    <x v="9"/>
    <s v="Fri Jun 26 2026 20:35:53 GMT+0000 (Coordinated Universal Time)"/>
    <s v="Sat Jun 27 2026 18:29:08 GMT+0000 (Coordinated Universal Time)"/>
    <x v="1"/>
  </r>
  <r>
    <s v="How do the remote-work policy and IT equipment support work together for a home office?"/>
    <s v="Document 3: General Employment Policies | Document 9: IT Usage and Security Policies"/>
    <n v="2"/>
    <s v="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
    <s v="The remote-work policy and IT support work together to ensure you have a functional and secure home office._x000a__x000a_*   The company provides laptops, monitors, and phones.^1,2_x000a_*   Stipends or equipment support assist with home setups.^1_x000a_*   Employees may receive reimbursement for peripherals like printers.^2_x000a_*   Multi-Factor Authentication (MFA) is mandatory for remote access.^2_x000a_*   Remote workers must maintain reliable internet and workspaces.^1_x000a_*   Personal laptops are generally prohibited for work tasks.^2_x000a__x000a_Sources:_x000a_- ^1 [Document 3_ General Employment Policies.txt](https://raw.githubusercontent.com/tobiaszwingmann/lil-n8n-eval/main/documents/Document%203_%20General%20Employment%20Policies.txt?token=AJJHWK3M6UIOK5X6J3MHZUTKIALLFAA)_x000a_- ^2 [Document 9_ IT Usage and Security Policies.txt](https://raw.githubusercontent.com/tobiaszwingmann/lil-n8n-eval/main/documents/Document%209_%20IT%20Usage%20and%20Security%20Policies.txt?token=AJJHWKY5RYYRPBTUEKMRQHTKIALLFAA)"/>
    <n v="1"/>
    <n v="0.97619047619047616"/>
    <n v="2"/>
    <n v="3"/>
    <b v="0"/>
    <b v="1"/>
    <b v="0"/>
    <s v="The answer accurately covers the ground truth items about workspace/internet, support via stipend/equipment and printer reimbursement, and prohibition of personal laptops, but it omits the key point that remote/hybrid eligibility depends on your manager."/>
    <x v="1"/>
    <x v="10"/>
    <s v="Fri Jun 26 2026 20:35:53 GMT+0000 (Coordinated Universal Time)"/>
    <s v="Sat Jun 27 2026 18:29:24 GMT+0000 (Coordinated Universal Time)"/>
    <x v="1"/>
  </r>
  <r>
    <s v="How are annual performance reviews connected to pay raises and bonuses?"/>
    <s v="Document 5: Compensation, Payroll, and Promotions | Document 8: Performance Reviews and Career Development"/>
    <n v="2"/>
    <s v="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
    <s v="Annual performance reviews are directly linked to salary adjustments and bonus payouts:_x000a__x000a_*   Reviews help determine merit-based salary increases. ^1_x000a_*   Raises depend on performance ratings and company budgets. ^1_x000a_*   Bonuses reward meeting or exceeding personal performance goals. ^1_x000a_*   Bonuses also depend on company-wide financial targets. ^1_x000a_*   Review outcomes influence final merit pay decisions. ^2_x000a_*   Bonus criteria are shared during the review season. ^1_x000a__x000a_Sources:_x000a_- ^1 [Document 5_ Compensation, Payroll, and Promotions.txt](https://raw.githubusercontent.com/tobiaszwingmann/lil-n8n-eval/main/documents/Document%205_%20Compensation%2C%20Payroll%2C%20and%20Promotions.txt?token=AJJHWK2X2SLSUMN3C7YDQJLKIALMFAA)_x000a_- ^2 [Document 8_ Performance Reviews and Career Development.txt](https://raw.githubusercontent.com/tobiaszwingmann/lil-n8n-eval/main/documents/Document%208_%20Performance%20Reviews%20and%20Career%20Development.txt?token=AJJHWK424WJ5H6QMC5GGSJDKIALMFAA)"/>
    <n v="1"/>
    <n v="0.98113207547169812"/>
    <n v="3"/>
    <n v="3"/>
    <b v="0"/>
    <b v="1"/>
    <b v="1"/>
    <s v="The answer correctly links annual performance reviews to merit increases and bonuses with company and individual criteria, but it omits the year-end/mid-year review timing, market benchmarks, and promotion linkage, and it adds extra detail not in the reference."/>
    <x v="1"/>
    <x v="11"/>
    <s v="Fri Jun 26 2026 20:35:53 GMT+0000 (Coordinated Universal Time)"/>
    <s v="Sat Jun 27 2026 18:29:36 GMT+0000 (Coordinated Universal Time)"/>
    <x v="1"/>
  </r>
  <r>
    <s v="Does ABC Inc offer pet insurance as an employee benefit?"/>
    <s v="NA"/>
    <n v="0"/>
    <s v="This is not addressed anywhere in the handbook."/>
    <s v="Calling Download_File with input: {&quot;URL&quot;:&quot;https://raw.githubusercontent.com/tobiaszwingmann/lil-n8n-eval/main/documents/Document%206_%20Employee%20Benefits%20and%20Perks.txt?token=AJJHWK6TD63IQLBQGJTWSQTKIALM5AA&quot;}"/>
    <n v="0"/>
    <n v="1"/>
    <n v="1"/>
    <n v="1"/>
    <b v="0"/>
    <b v="1"/>
    <b v="1"/>
    <s v="The output only shows a function call and does not state the required ground-truth claim that it is not addressed anywhere in the handbook."/>
    <x v="1"/>
    <x v="12"/>
    <s v="Fri Jun 26 2026 20:35:53 GMT+0000 (Coordinated Universal Time)"/>
    <s v="Sat Jun 27 2026 18:29:44 GMT+0000 (Coordinated Universal Time)"/>
    <x v="1"/>
  </r>
  <r>
    <s v="What is the company's sabbatical leave policy?"/>
    <s v="NA"/>
    <n v="0"/>
    <s v="This is not addressed anywhere in the handbook; the leave policy covers vacation, sick, personal, parental, bereavement, jury, military, and unpaid leave only."/>
    <s v="Calling Download_File with input: {&quot;URL&quot;:&quot;https://raw.githubusercontent.com/tobiaszwingmann/lil-n8n-eval/main/documents/Document%207_%20Leave%20and%20Time%20Off%20Policies.txt?token=AJJHWK6NICOV27X7PEJPPYTKIALNLAA&quot;}"/>
    <n v="0"/>
    <n v="1"/>
    <n v="1"/>
    <n v="1"/>
    <b v="0"/>
    <b v="1"/>
    <b v="1"/>
    <s v="The output only shows a function call URL and does not state the handbook/leave-policy limitation given in the ground truth, while including unrelated content."/>
    <x v="1"/>
    <x v="13"/>
    <s v="Fri Jun 26 2026 20:35:53 GMT+0000 (Coordinated Universal Time)"/>
    <s v="Sat Jun 27 2026 18:29:51 GMT+0000 (Coordinated Universal Time)"/>
    <x v="1"/>
  </r>
  <r>
    <s v="What is the dress code?"/>
    <s v="Document 3: General Employment Policies"/>
    <n v="1"/>
    <s v="Business casual - e.g., collared shirts, blouses, slacks or neat jeans, and closed-toe shoes. Fridays are casual (jeans and sneakers welcome). Remote staff may dress more casually but should be presentable for video meetings."/>
    <s v="Our company follows a business-casual dress code.^1_x000a__x000a_*   Wear professional yet comfortable attire.^1_x000a_*   Examples include collared shirts and blouses.^1_x000a_*   Slacks or neat jeans are acceptable.^1_x000a_*   Wear closed-toe shoes for safety.^1_x000a_*   Fridays are casual (jeans and sneakers).^1_x000a_*   Remote workers must be video-meeting presentable.^1_x000a__x000a_Sources:_x000a_- ^1 [Document 3_ General Employment Policies.txt](https://raw.githubusercontent.com/tobiaszwingmann/lil-n8n-eval/main/documents/Document%203_%20General%20Employment%20Policies.txt?token=AJJHWK4GQR2OALLUPWQ3KC3KIALN3AA)"/>
    <n v="1"/>
    <n v="0.97435897435897434"/>
    <n v="5"/>
    <n v="5"/>
    <b v="0"/>
    <b v="0"/>
    <b v="0"/>
    <s v="The output accurately covers all the ground-truth business-casual details with no contradictory or extra unsupported information."/>
    <x v="1"/>
    <x v="14"/>
    <s v="Fri Jun 26 2026 20:35:53 GMT+0000 (Coordinated Universal Time)"/>
    <s v="Sat Jun 27 2026 18:30:00 GMT+0000 (Coordinated Universal Time)"/>
    <x v="1"/>
  </r>
  <r>
    <s v="What login security is required for remote access and important applications?"/>
    <s v="Document 9: IT Usage and Security Policies"/>
    <n v="1"/>
    <s v="Multi-Factor Authentication (MFA)"/>
    <s v="Remote access and important applications require **Multi-Factor Authentication (MFA)**.  _x000a_That means a **second login step**, such as a code from an authenticator app or text message.  _x000a_You also need a **strong password**: at least 8 characters, with letters, numbers, and symbols.  _x000a_Key accounts require **password changes every 90 days**.  _x000a_Never share your password. ^1_x000a__x000a_Sources:  _x000a_- ^1 [Document 9_ IT Usage and Security Policies.txt](https://raw.githubusercontent.com/tobiaszwingmann/lil-n8n-eval/main/documents/Document%209_%20IT%20Usage%20and%20Security%20Policies.txt?token=AJJHWKZNNYUHKQCKGS7A3FDKIAL4HAA)"/>
    <n v="1"/>
    <n v="0.97619047619047616"/>
    <n v="4"/>
    <n v="2"/>
    <b v="0"/>
    <b v="1"/>
    <b v="1"/>
    <s v="The answer contains extra specific security policy details not present in the ground truth and omits that only 'Multi-Factor Authentication (MFA)' is the required content."/>
    <x v="2"/>
    <x v="0"/>
    <s v="Fri Jun 26 2026 20:35:53 GMT+0000 (Coordinated Universal Time)"/>
    <s v="Sat Jun 27 2026 18:33:54 GMT+0000 (Coordinated Universal Time)"/>
    <x v="2"/>
  </r>
  <r>
    <s v="What technique should you use to operate a fire extinguisher?"/>
    <s v="Document 10: Workplace Safety and Emergency Procedures"/>
    <n v="1"/>
    <s v="The PASS method: Pull the pin, Aim at the base, Squeeze the trigger, Sweep side to side"/>
    <s v="Use the **PASS** method._x000a__x000a_- Pull the pin._x000a_- Aim at the fire’s base._x000a_- Squeeze the trigger._x000a_- Sweep side to side._x000a__x000a_Use it only if you’re trained._x000a_Use it only for very small fires.[^1]_x000a__x000a_Sources:_x000a_- ^1 [Document 10_ Workplace Safety and Emergency Procedures.txt](https://raw.githubusercontent.com/tobiaszwingmann/lil-n8n-eval/main/documents/Document%2010_%20Workplace%20Safety%20and%20Emergency%20Procedures.txt?token=AJJHWK2FEGL7Q6UWSKIFNGDKIAL47AA)"/>
    <n v="1"/>
    <n v="0.98148148148148151"/>
    <n v="4"/>
    <n v="4"/>
    <b v="0"/>
    <b v="0"/>
    <b v="1"/>
    <s v="The answer includes the correct PASS method steps but adds extra cautions and a source not present in the ground truth."/>
    <x v="2"/>
    <x v="1"/>
    <s v="Fri Jun 26 2026 20:35:53 GMT+0000 (Coordinated Universal Time)"/>
    <s v="Sat Jun 27 2026 18:34:04 GMT+0000 (Coordinated Universal Time)"/>
    <x v="2"/>
  </r>
  <r>
    <s v="Where is the primary emergency assembly point during an evacuation?"/>
    <s v="Document 10: Workplace Safety and Emergency Procedures"/>
    <n v="1"/>
    <s v="The parking lot across the street"/>
    <s v="The primary assembly point is the parking lot across the street. If posted, use the designated spot on the evacuation map. Check in with your supervisor or the warden there.^1_x000a__x000a_Sources:  _x000a_- ^1 [Document 10_ Workplace Safety and Emergency Procedures.txt](https://raw.githubusercontent.com/tobiaszwingmann/lil-n8n-eval/main/documents/Document%2010_%20Workplace%20Safety%20and%20Emergency%20Procedures.txt?token=AJJHWKZ42DVBPPGUGKPF4ITKIAL5VAA)"/>
    <n v="1"/>
    <n v="0.98148148148148151"/>
    <n v="4"/>
    <n v="4"/>
    <b v="0"/>
    <b v="0"/>
    <b v="1"/>
    <s v="The answer correctly identifies the parking lot across the street but adds extra procedural details not in the ground truth."/>
    <x v="2"/>
    <x v="2"/>
    <s v="Fri Jun 26 2026 20:35:53 GMT+0000 (Coordinated Universal Time)"/>
    <s v="Sat Jun 27 2026 18:34:15 GMT+0000 (Coordinated Universal Time)"/>
    <x v="2"/>
  </r>
  <r>
    <s v="How often are employees paid?"/>
    <s v="Document 5: Compensation, Payroll, and Promotions"/>
    <n v="1"/>
    <s v="Every two weeks (bi-weekly), typically every other Friday"/>
    <s v="Employees are paid bi-weekly.  _x000a_That means every two weeks, typically every other Friday.^1_x000a__x000a_Sources:  _x000a_- ^1 [Document 5_ Compensation, Payroll, and Promotions.txt](https://raw.githubusercontent.com/tobiaszwingmann/lil-n8n-eval/main/documents/Document%205_%20Compensation,%20Payroll,%20and%20Promotions.txt?token=AJJHWK3UFTKQ5VYBL7KDHDDKIAL6JAA)"/>
    <n v="1"/>
    <n v="0.97959183673469385"/>
    <n v="5"/>
    <n v="5"/>
    <b v="0"/>
    <b v="0"/>
    <b v="0"/>
    <s v="The answer correctly states that bi-weekly pay means every two weeks and typically every other Friday, matching the ground truth exactly."/>
    <x v="2"/>
    <x v="3"/>
    <s v="Fri Jun 26 2026 20:35:53 GMT+0000 (Coordinated Universal Time)"/>
    <s v="Sat Jun 27 2026 18:34:24 GMT+0000 (Coordinated Universal Time)"/>
    <x v="2"/>
  </r>
  <r>
    <s v="Explain the process for requesting parental leave."/>
    <s v="Document 7: Leave and Time Off Policies"/>
    <n v="1"/>
    <s v="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
    <s v="To request parental leave, notify HR as early as possible.  _x000a_Aim for at least 30 days’ notice, if feasible.  _x000a_Submit planned leave through the HR system.  _x000a_Your manager approves it online.  _x000a_Work with HR on any extra forms.  _x000a_This is especially important if FMLA applies.  _x000a_If you want flexible timing, get manager approval.  _x000a_Flexible parental leave must be within the first year.¹_x000a__x000a_Sources:  _x000a_- ^1 [Document 7_ Leave and Time Off Policies.txt](https://raw.githubusercontent.com/tobiaszwingmann/lil-n8n-eval/main/documents/Document%207_%20Leave%20and%20Time%20Off%20Policies.txt?token=AJJHWKY2IJO64YQ6ZZ4COCLKIAL63AA)"/>
    <n v="1"/>
    <n v="0.97435897435897434"/>
    <n v="3"/>
    <n v="2"/>
    <b v="0"/>
    <b v="1"/>
    <b v="1"/>
    <s v="The answer includes some correct procedural steps but omits key eligibility/pay details and incorrectly adds an extra constraint about flexible leave timing not present in the ground truth."/>
    <x v="2"/>
    <x v="4"/>
    <s v="Fri Jun 26 2026 20:35:53 GMT+0000 (Coordinated Universal Time)"/>
    <s v="Sat Jun 27 2026 18:34:39 GMT+0000 (Coordinated Universal Time)"/>
    <x v="2"/>
  </r>
  <r>
    <s v="Walk me through the steps of the annual performance review."/>
    <s v="Document 8: Performance Reviews and Career Development"/>
    <n v="1"/>
    <s v="Goals are set at the start of the year. The annual review (year-end, with a mid-year check-in) includes a self-assessment, a manager evaluation against goals, optional 360-degree feedback, a one-on-one review meeting, and a rating/outcome that can influence merit increases or bonuses."/>
    <s v="Annual reviews happen once a year, usually at year-end, with a mid-year check-in. You and your manager set goals first, then review progress, achievements, and challenges. ^1_x000a__x000a_Steps:_x000a_- Complete your self-assessment._x000a_- Manager evaluates your performance._x000a_- Optional peer feedback may be collected._x000a_- Meet one-on-one with your manager._x000a_- Discuss feedback and career goals._x000a_- Review rating and outcome._x000a_- Plan next-year goals and development._x000a__x000a_Regular check-ins continue during the year. That helps avoid surprises at review time. ^1_x000a__x000a_Sources:_x000a_- ^1 [Document 8_ Performance Reviews and Career Development.txt](https://raw.githubusercontent.com/tobiaszwingmann/lil-n8n-eval/main/documents/Document%208_%20Performance%20Reviews%20and%20Career%20Development.txt?token=AJJHWK6LQBTI5FSSR6JUYRLKIAL7ZAA)"/>
    <n v="1"/>
    <n v="0.98148148148148151"/>
    <n v="3"/>
    <n v="4"/>
    <b v="0"/>
    <b v="0"/>
    <b v="1"/>
    <s v="The response matches the ground truth content but adds extra procedural detail (e.g., optional peer feedback wording and regular check-ins) not stated in the reference."/>
    <x v="2"/>
    <x v="5"/>
    <s v="Fri Jun 26 2026 20:35:53 GMT+0000 (Coordinated Universal Time)"/>
    <s v="Sat Jun 27 2026 18:34:53 GMT+0000 (Coordinated Universal Time)"/>
    <x v="2"/>
  </r>
  <r>
    <s v="Summarize who is eligible to work remotely and what is expected of them."/>
    <s v="Document 3: General Employment Policies"/>
    <n v="1"/>
    <s v="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
    <s v="Many roles are eligible for remote work, either part-time or full-time, depending on team needs. If your position qualifies, you should review the arrangement with your manager and follow any department hybrid guidelines. ^1_x000a__x000a_Remote employees are expected to have a proper workspace and reliable internet. They should be fully engaged during work hours, stay available online, attend meetings, and meet productivity expectations like in-office staff. ^1_x000a__x000a_Sources:  _x000a_- ^1 [Document 3_ General Employment Policies.txt](https://raw.githubusercontent.com/tobiaszwingmann/lil-n8n-eval/main/documents/Document%203_%20General%20Employment%20Policies.txt?token=AJJHWKZOWOHQHACXR7YC3H3KIAMAVAA)"/>
    <n v="1"/>
    <n v="0.97435897435897434"/>
    <n v="4"/>
    <n v="4"/>
    <b v="0"/>
    <b v="0"/>
    <b v="1"/>
    <s v="The answer matches the ground truth requirements but adds extra detail (part-time vs full-time and the specific mention of department hybrid guidelines) not present in the reference."/>
    <x v="2"/>
    <x v="6"/>
    <s v="Fri Jun 26 2026 20:35:53 GMT+0000 (Coordinated Universal Time)"/>
    <s v="Sat Jun 27 2026 18:35:08 GMT+0000 (Coordinated Universal Time)"/>
    <x v="2"/>
  </r>
  <r>
    <s v="What should a new hire expect on their first day?"/>
    <s v="Document 2: Onboarding Process and New Hire Orientation"/>
    <n v="1"/>
    <s v="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
    <s v="On day one, new hires should arrive at the front desk by 9:00 AM for HR orientation. They can expect paperwork, an ID badge, a tour, equipment setup, a quick policy overview, benefits enrollment guidance, and time for questions. Each new hire is also paired with a buddy or mentor, and lunch is usually provided.^1_x000a__x000a_Sources:_x000a_- ^1 [Document 2_ Onboarding Process and New Hire Orientation.txt](https://raw.githubusercontent.com/tobiaszwingmann/lil-n8n-eval/main/documents/Document%202_%20Onboarding%20Process%20and%20New%20Hire%20Orientation.txt?token=AJJHWK7N44RT4ZRN7T255KDKIAMBVAA)"/>
    <n v="1"/>
    <n v="0.98181818181818181"/>
    <n v="3"/>
    <n v="5"/>
    <b v="0"/>
    <b v="0"/>
    <b v="0"/>
    <s v="The output matches the ground truth content with no contradictions and no omitted or extra key details."/>
    <x v="2"/>
    <x v="7"/>
    <s v="Fri Jun 26 2026 20:35:53 GMT+0000 (Coordinated Universal Time)"/>
    <s v="Sat Jun 27 2026 18:35:21 GMT+0000 (Coordinated Universal Time)"/>
    <x v="2"/>
  </r>
  <r>
    <s v="For a birth mother, how does paid parental leave coordinate with short-term disability?"/>
    <s v="Document 6: Employee Benefits and Perks | Document 7: Leave and Time Off Policies"/>
    <n v="2"/>
    <s v="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
    <s v="For a birth mother, paid parental leave runs concurrently with short-term disability. Short-term disability typically covers 6–8 weeks of medical recovery time. Parental leave can provide up to 12 weeks total, with 6 weeks fully paid. The remaining 6 weeks may be unpaid, or covered by accrued vacation. During paid leave, salary and benefits continue as normal. ^1^2_x000a__x000a_Sources:  _x000a_- ^1 [Document 7_ Leave and Time Off Policies.txt](https://raw.githubusercontent.com/tobiaszwingmann/lil-n8n-eval/main/documents/Document%207_%20Leave%20and%20Time%20Off%20Policies.txt?token=AJJHWK5BDWIEILW42HDEFULKIAMCNAA)  _x000a_- ^2 [Document 6_ Employee Benefits and Perks.txt](https://raw.githubusercontent.com/tobiaszwingmann/lil-n8n-eval/main/documents/Document%206_%20Employee%20Benefits%20and%20Perks.txt?token=AJJHWKZRNMIQ5IRPXSBTGE3KIAMCNAA)"/>
    <n v="1"/>
    <n v="0.97530864197530864"/>
    <n v="3"/>
    <n v="3"/>
    <b v="0"/>
    <b v="1"/>
    <b v="1"/>
    <s v="The answer matches the leave/STD overlap and payment timing but omits key details that STD is company-paid with salary replacement up to 13 weeks and the HR/paperwork coordination, while adding some potentially speculative wording about unpaid vs accrued vacation coverage."/>
    <x v="2"/>
    <x v="8"/>
    <s v="Fri Jun 26 2026 20:35:53 GMT+0000 (Coordinated Universal Time)"/>
    <s v="Sat Jun 27 2026 18:35:35 GMT+0000 (Coordinated Universal Time)"/>
    <x v="2"/>
  </r>
  <r>
    <s v="If I am out sick longer than my paid sick days, what covers my income?"/>
    <s v="Document 6: Employee Benefits and Perks | Document 7: Leave and Time Off Policies"/>
    <n v="2"/>
    <s v="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
    <s v="If you exhaust paid sick leave, **short-term disability** can pay a portion of your salary, generally up to **13 weeks**. If your health condition lasts longer, **long-term disability** may continue income. You may also request an **unpaid leave of absence** if you still need time off.¹²_x000a__x000a_Sources:  _x000a_- ¹ [Document 6_ Employee Benefits and Perks.txt](https://github.com/tobiaszwingmann/lil-n8n-eval/blob/main/documents/Document%206_%20Employee%20Benefits%20and%20Perks.txt)  _x000a_- ² [Document 7_ Leave and Time Off Policies.txt](https://github.com/tobiaszwingmann/lil-n8n-eval/blob/main/documents/Document%207_%20Leave%20and%20Time%20Off%20Policies.txt)"/>
    <n v="1"/>
    <n v="0.88764044943820219"/>
    <n v="2"/>
    <n v="3"/>
    <b v="0"/>
    <b v="1"/>
    <b v="1"/>
    <s v="The answer correctly describes STD up to 13 weeks and long-term disability beyond that, but it omits the 10 paid sick days per year and adds an extra 'unpaid leave of absence' detail not in the reference."/>
    <x v="2"/>
    <x v="9"/>
    <s v="Fri Jun 26 2026 20:35:53 GMT+0000 (Coordinated Universal Time)"/>
    <s v="Sat Jun 27 2026 18:35:49 GMT+0000 (Coordinated Universal Time)"/>
    <x v="2"/>
  </r>
  <r>
    <s v="How do the remote-work policy and IT equipment support work together for a home office?"/>
    <s v="Document 3: General Employment Policies | Document 9: IT Usage and Security Policies"/>
    <n v="2"/>
    <s v="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
    <s v="Remote work requires a proper workspace and reliable internet. You also need to stay available online, attend meetings, and meet productivity expectations. The company may provide a stipend or company equipment for home-office support. IT supplies business devices like laptops, monitors, and phones. Remote access uses MFA. Special equipment needs should go through IT/HR. Personal laptops are generally not allowed unless authorized. [^1][^2]_x000a__x000a_Sources:  _x000a_- [^1] [Document 3_ General Employment Policies.txt](https://api.github.com/repos/tobiaszwingmann/lil-n8n-eval/contents/documents/Document%203_%20General%20Employment%20Policies.txt?ref=main)  _x000a_- [^2] [Document 9_ IT Usage and Security Policies.txt](https://api.github.com/repos/tobiaszwingmann/lil-n8n-eval/contents/documents/Document%209_%20IT%20Usage%20and%20Security%20Policies.txt?ref=main)"/>
    <n v="1"/>
    <n v="0.83673469387755106"/>
    <n v="3"/>
    <n v="3"/>
    <b v="0"/>
    <b v="1"/>
    <b v="1"/>
    <s v="The output adds extra specifics (meetings/productivity/MFA) not in the reference and omits that remote/hybrid eligibility is role-dependent and arranged with a manager."/>
    <x v="2"/>
    <x v="10"/>
    <s v="Fri Jun 26 2026 20:35:53 GMT+0000 (Coordinated Universal Time)"/>
    <s v="Sat Jun 27 2026 18:36:05 GMT+0000 (Coordinated Universal Time)"/>
    <x v="2"/>
  </r>
  <r>
    <s v="How are annual performance reviews connected to pay raises and bonuses?"/>
    <s v="Document 5: Compensation, Payroll, and Promotions | Document 8: Performance Reviews and Career Development"/>
    <n v="2"/>
    <s v="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
    <s v="Annual performance reviews can affect both pay raises and bonuses. The review outcome may influence merit pay increases or bonuses. Raises are distributed from an annual budget based on performance ratings, market benchmarks, and other factors. Bonuses are discretionary and may depend on company financial targets and your performance goals. ^1 ^2_x000a__x000a_Sources:  _x000a_- ^1 [Document 8_ Performance Reviews and Career Development.txt](https://raw.githubusercontent.com/tobiaszwingmann/lil-n8n-eval/main/documents/Document%208_%20Performance%20Reviews%20and%20Career%20Development.txt?token=AJJHWK2QKT766WYXPQFRPZLKIAMFFAA)  _x000a_- ^2 [Document 5_ Compensation, Payroll, and Promotions.txt](https://raw.githubusercontent.com/tobiaszwingmann/lil-n8n-eval/main/documents/Document%205_%20Compensation%2C%20Payroll%2C%20and%20Promotions.txt?token=AJJHWK64UI4VLS6P24HW6ATKIAMFFAA)"/>
    <n v="1"/>
    <n v="0.98113207547169812"/>
    <n v="3"/>
    <n v="2"/>
    <b v="0"/>
    <b v="1"/>
    <b v="1"/>
    <s v="The answer correctly describes annual rating-driven raises and conditional discretionary bonuses, but it omits the year-end/mid-year review cadence and the promotion link while adding details like discretion beyond the reference framing."/>
    <x v="2"/>
    <x v="11"/>
    <s v="Fri Jun 26 2026 20:35:53 GMT+0000 (Coordinated Universal Time)"/>
    <s v="Sat Jun 27 2026 18:36:18 GMT+0000 (Coordinated Universal Time)"/>
    <x v="2"/>
  </r>
  <r>
    <s v="Does ABC Inc offer pet insurance as an employee benefit?"/>
    <s v="NA"/>
    <n v="0"/>
    <s v="This is not addressed anywhere in the handbook."/>
    <s v="I’m sorry, I can’t answer that. Please contact HR"/>
    <n v="0"/>
    <n v="1"/>
    <n v="3"/>
    <n v="3"/>
    <b v="0"/>
    <b v="1"/>
    <b v="0"/>
    <s v="The response does not match the ground truth explanation that the issue is not addressed in the handbook."/>
    <x v="2"/>
    <x v="12"/>
    <s v="Fri Jun 26 2026 20:35:53 GMT+0000 (Coordinated Universal Time)"/>
    <s v="Sat Jun 27 2026 18:36:27 GMT+0000 (Coordinated Universal Time)"/>
    <x v="2"/>
  </r>
  <r>
    <s v="What is the company's sabbatical leave policy?"/>
    <s v="NA"/>
    <n v="0"/>
    <s v="This is not addressed anywhere in the handbook; the leave policy covers vacation, sick, personal, parental, bereavement, jury, military, and unpaid leave only."/>
    <s v="I’m sorry, I can’t answer that. Please contact HR"/>
    <n v="0"/>
    <n v="1"/>
    <n v="3"/>
    <n v="1"/>
    <b v="0"/>
    <b v="1"/>
    <b v="1"/>
    <s v="The response refuses without providing the handbook-based information required, and it adds irrelevant HR-contact advice."/>
    <x v="2"/>
    <x v="13"/>
    <s v="Fri Jun 26 2026 20:35:53 GMT+0000 (Coordinated Universal Time)"/>
    <s v="Sat Jun 27 2026 18:36:37 GMT+0000 (Coordinated Universal Time)"/>
    <x v="2"/>
  </r>
  <r>
    <s v="What is the dress code?"/>
    <s v="Document 3: General Employment Policies"/>
    <n v="1"/>
    <s v="Business casual - e.g., collared shirts, blouses, slacks or neat jeans, and closed-toe shoes. Fridays are casual (jeans and sneakers welcome). Remote staff may dress more casually but should be presentable for video meetings."/>
    <s v="The dress code is business-casual.  _x000a_Examples: collared shirts, blouses, slacks, neat jeans, closed-toe shoes.  _x000a_Fridays are casual dress days. Jeans and sneakers are allowed.  _x000a_Remote workers may dress more casually for video meetings.  _x000a_Some teams may have specific attire requirements. ^1_x000a__x000a_Sources:_x000a_- ^1 [Document 3_ General Employment Policies.txt](https://raw.githubusercontent.com/tobiaszwingmann/lil-n8n-eval/main/documents/Document%203_%20General%20Employment%20Policies.txt?token=AJJHWK54JL4LKEJS4UPEGGTKIAMHLAA)"/>
    <n v="1"/>
    <n v="0.97435897435897434"/>
    <n v="4"/>
    <n v="4"/>
    <b v="0"/>
    <b v="0"/>
    <b v="1"/>
    <s v="The answer matches all key dress-code points from the reference but adds minor extra details like “Some teams may have specific attire requirements.”"/>
    <x v="2"/>
    <x v="14"/>
    <s v="Fri Jun 26 2026 20:35:53 GMT+0000 (Coordinated Universal Time)"/>
    <s v="Sat Jun 27 2026 18:36:48 GMT+0000 (Coordinated Universal Time)"/>
    <x v="2"/>
  </r>
  <r>
    <s v="What login security is required for remote access and important applications?"/>
    <s v="Document 9: IT Usage and Security Policies"/>
    <n v="1"/>
    <s v="Multi-Factor Authentication (MFA)"/>
    <s v="For **remote access** and **important applications**, the required login security is **Multi-Factor Authentication (MFA)**. You must complete a **second login step** (e.g., authenticator app code or text message code).[^1]_x000a__x000a_Also required for login accounts:_x000a_- Use **strong passwords** (at least 8 characters)._x000a_- Use a mix of **letters, numbers, and symbols**._x000a_- **Do not share passwords** with anyone (even IT).[^1]_x000a__x000a_Sources:  _x000a_- ^1 [Document 9_ IT Usage and Security Policies.txt](https://api.github.com/repos/tobiaszwingmann/lil-n8n-eval/contents/documents/Document%209_%20IT%20Usage%20and%20Security%20Policies.txt?ref=main)"/>
    <n v="1"/>
    <n v="0.97619047619047616"/>
    <n v="4"/>
    <n v="4"/>
    <b v="0"/>
    <b v="0"/>
    <b v="1"/>
    <s v="The answer correctly states that Multi-Factor Authentication (MFA) is required, but adds extra login/security details not present in the ground truth."/>
    <x v="3"/>
    <x v="0"/>
    <s v="Fri Jun 26 2026 20:35:53 GMT+0000 (Coordinated Universal Time)"/>
    <s v="Sat Jun 27 2026 18:47:48 GMT+0000 (Coordinated Universal Time)"/>
    <x v="3"/>
  </r>
  <r>
    <s v="What technique should you use to operate a fire extinguisher?"/>
    <s v="Document 10: Workplace Safety and Emergency Procedures"/>
    <n v="1"/>
    <s v="The PASS method: Pull the pin, Aim at the base, Squeeze the trigger, Sweep side to side"/>
    <s v="Use the **PASS method** to operate a fire extinguisher: **Pull** the pin, **Aim** at the base, **Squeeze** the trigger, and **Sweep** side to side.**[1]**_x000a__x000a_Sources:  _x000a_- ^1 [Document 10_ Workplace Safety and Emergency Procedures.txt](https://raw.githubusercontent.com/tobiaszwingmann/lil-n8n-eval/main/documents/Document%2010_%20Workplace%20Safety%20and%20Emergency%20Procedures.txt?token=AJJHWK7JKT4IGDYPSV3OU73KIANRFAA)"/>
    <n v="1"/>
    <n v="0.98148148148148151"/>
    <n v="5"/>
    <n v="4"/>
    <b v="0"/>
    <b v="0"/>
    <b v="1"/>
    <s v="The answer correctly states the PASS steps but includes extra formatting and a source citation not present in the ground truth scope."/>
    <x v="3"/>
    <x v="1"/>
    <s v="Fri Jun 26 2026 20:35:53 GMT+0000 (Coordinated Universal Time)"/>
    <s v="Sat Jun 27 2026 18:47:57 GMT+0000 (Coordinated Universal Time)"/>
    <x v="3"/>
  </r>
  <r>
    <s v="Where is the primary emergency assembly point during an evacuation?"/>
    <s v="Document 10: Workplace Safety and Emergency Procedures"/>
    <n v="1"/>
    <s v="The parking lot across the street"/>
    <s v="The primary assembly point during an evacuation is the **parking lot across the street** (or a **designated spot** shown on the evacuation map).[^1]_x000a__x000a_Sources:  _x000a_- ^1 [Document 10_ Workplace Safety and Emergency Procedures.txt](https://raw.githubusercontent.com/tobiaszwingmann/lil-n8n-eval/main/documents/Document%2010_%20Workplace%20Safety%20and%20Emergency%20Procedures.txt?token=AJJHWK7JHRLZKOX76ZYC5HDKIANRXAA)"/>
    <n v="1"/>
    <n v="0.98148148148148151"/>
    <n v="4"/>
    <n v="4"/>
    <b v="0"/>
    <b v="0"/>
    <b v="1"/>
    <s v="The answer includes the correct location (“parking lot across the street”) but adds extra qualifiers (designated spot/map) not present in the ground truth."/>
    <x v="3"/>
    <x v="2"/>
    <s v="Fri Jun 26 2026 20:35:53 GMT+0000 (Coordinated Universal Time)"/>
    <s v="Sat Jun 27 2026 18:48:06 GMT+0000 (Coordinated Universal Time)"/>
    <x v="3"/>
  </r>
  <r>
    <s v="How often are employees paid?"/>
    <s v="Document 5: Compensation, Payroll, and Promotions"/>
    <n v="1"/>
    <s v="Every two weeks (bi-weekly), typically every other Friday"/>
    <s v="Available HR documents include: Document 1–10.  _x000a__x000a_The most relevant file is **Document 5: Compensation, Payroll, and Promotions**.  _x000a__x000a_Employees are paid on a **bi-weekly** schedule—**every two weeks**, typically **every other Friday**. [^1]_x000a__x000a_Sources:  _x000a_- ^1 [Document 5_ Compensation, Payroll, and Promotions.txt](https://raw.githubusercontent.com/tobiaszwingmann/lil-n8n-eval/main/documents/Document%205_%20Compensation,%20Payroll,%20and%20Promotions.txt?token=AJJHWK4LEO467YJVORO4LCLKIANSJAA)"/>
    <n v="1"/>
    <n v="0.97959183673469385"/>
    <n v="4"/>
    <n v="5"/>
    <b v="0"/>
    <b v="0"/>
    <b v="0"/>
    <s v="The output matches the ground truth exactly about the bi-weekly/every two weeks schedule and typically every other Friday."/>
    <x v="3"/>
    <x v="3"/>
    <s v="Fri Jun 26 2026 20:35:53 GMT+0000 (Coordinated Universal Time)"/>
    <s v="Sat Jun 27 2026 18:48:15 GMT+0000 (Coordinated Universal Time)"/>
    <x v="3"/>
  </r>
  <r>
    <s v="Explain the process for requesting parental leave."/>
    <s v="Document 7: Leave and Time Off Policies"/>
    <n v="1"/>
    <s v="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
    <s v="To request **parental leave**, follow this process (per **Document 7: Leave and Time Off Policies**):[^1]_x000a__x000a_- **Tell HR as early as possible**.  _x000a_- Provide **at least 30 days’ notice** if feasible.  _x000a_- **Submit a leave request in the HR system**.  _x000a_- Ask your **manager to approve it online**.  _x000a_- For extended leave, **work with HR on additional forms**.  _x000a_- This may include **FMLA paperwork** (if applicable).  _x000a_- Discuss **paid vs unpaid weeks** and whether to use vacation.  _x000a_- Choose timing: **continuous** or **flexible within the first year**._x000a__x000a_[^1]: Source: **Document 7_ Leave and Time Off Policies.txt** (Parental Leave + Requesting Time Off sections)_x000a__x000a_Sources:  _x000a_- ^1 [Document 7_ Leave and Time Off Policies.txt](https://raw.githubusercontent.com/tobiaszwingmann/lil-n8n-eval/main/documents/Document%207_%20Leave%20and%20Time%20Off%20Policies.txt?token=AJJHWK5N36C4BX3T3WDC6NDKIANS3AA)"/>
    <n v="1"/>
    <n v="0.97435897435897434"/>
    <n v="3"/>
    <n v="3"/>
    <b v="0"/>
    <b v="1"/>
    <b v="0"/>
    <s v="The answer omits the eligibility/pay details (12 weeks/6 paid primary, 2 paid secondary) and whether remaining time is unpaid vs vacation, which the ground truth includes."/>
    <x v="3"/>
    <x v="4"/>
    <s v="Fri Jun 26 2026 20:35:53 GMT+0000 (Coordinated Universal Time)"/>
    <s v="Sat Jun 27 2026 18:48:27 GMT+0000 (Coordinated Universal Time)"/>
    <x v="3"/>
  </r>
  <r>
    <s v="Walk me through the steps of the annual performance review."/>
    <s v="Document 8: Performance Reviews and Career Development"/>
    <n v="1"/>
    <s v="Goals are set at the start of the year. The annual review (year-end, with a mid-year check-in) includes a self-assessment, a manager evaluation against goals, optional 360-degree feedback, a one-on-one review meeting, and a rating/outcome that can influence merit increases or bonuses."/>
    <s v="Our performance reviews are **annual**, typically **end of calendar year**, with a **mid-year check-in**. [^1]_x000a__x000a_**Steps of the annual performance review:**_x000a_1. **Set goals and objectives** with your manager. [^1]_x000a_2. **Complete a self-assessment**. [^1]_x000a_3. **Manager evaluates** your performance vs goals/role expectations. [^1]_x000a_4. **360-degree feedback** may be collected (if applicable). [^1]_x000a_5. **Have a one-on-one review meeting** with your manager. [^1]_x000a_6. **Receive a rating and outcome** from the review. [^1]_x000a__x000a_[^1]: Document 8_ Performance Reviews and Career Development.txt_x000a__x000a_Sources:  _x000a_- ^1 [Document 8_ Performance Reviews and Career Development.txt](https://raw.githubusercontent.com/tobiaszwingmann/lil-n8n-eval/main/documents/Document%208_%20Performance%20Reviews%20and%20Career%20Development.txt?token=AJJHWK3VNIS3UDWXDEHHNYLKIANTRAA)"/>
    <n v="1"/>
    <n v="0.98148148148148151"/>
    <n v="3"/>
    <n v="3"/>
    <b v="0"/>
    <b v="1"/>
    <b v="1"/>
    <s v="The answer matches the core review flow and timing but omits that goals are set at the start of the year and leaves out the merit increases/bonuses impact while adding extra structure (numbered steps and link formatting) not in the reference."/>
    <x v="3"/>
    <x v="5"/>
    <s v="Fri Jun 26 2026 20:35:53 GMT+0000 (Coordinated Universal Time)"/>
    <s v="Sat Jun 27 2026 18:48:38 GMT+0000 (Coordinated Universal Time)"/>
    <x v="3"/>
  </r>
  <r>
    <s v="Summarize who is eligible to work remotely and what is expected of them."/>
    <s v="Document 3: General Employment Policies"/>
    <n v="1"/>
    <s v="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
    <s v="## Eligibility to work remotely_x000a_- Remote work is available for roles that are eligible.¹  _x000a_- Eligibility depends on team needs.¹  _x000a_- If your role is eligible, you’ll confirm details with your manager.¹  _x000a__x000a_## Expectations for remote employees_x000a_- Have a proper workspace and reliable internet.¹  _x000a_- Be fully engaged during work hours (online and reachable).¹  _x000a_- Attend meetings and meet productivity expectations.¹  _x000a_- Follow your agreed schedule and be on time.¹  _x000a_- Notify your manager if you’re late, leaving early, or absent.¹  _x000a__x000a_Sources:  _x000a_- ^1 [Document 3_ General Employment Policies.txt](https://raw.githubusercontent.com/tobiaszwingmann/lil-n8n-eval/main/documents/Document%203_%20General%20Employment%20Policies.txt?token=AJJHWK4OKCQC6VJLBKGKEQLKIANUJAA)"/>
    <n v="1"/>
    <n v="0.97435897435897434"/>
    <n v="4"/>
    <n v="4"/>
    <b v="0"/>
    <b v="0"/>
    <b v="1"/>
    <s v="The answer accurately reflects the ground truth but adds extra specificity (e.g., schedule punctuality and notifying a manager about lateness/absence) that is not in the reference."/>
    <x v="3"/>
    <x v="6"/>
    <s v="Fri Jun 26 2026 20:35:53 GMT+0000 (Coordinated Universal Time)"/>
    <s v="Sat Jun 27 2026 18:48:54 GMT+0000 (Coordinated Universal Time)"/>
    <x v="3"/>
  </r>
  <r>
    <s v="What should a new hire expect on their first day?"/>
    <s v="Document 2: Onboarding Process and New Hire Orientation"/>
    <n v="1"/>
    <s v="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
    <s v="On your first day (Day 1), expect this: ￼[^1]_x000a__x000a_- You’ll receive a welcome email before day one.  _x000a_- Arrive at the front desk by 9:00 AM.  _x000a_- HR greets you for a brief orientation.  _x000a_- Complete remaining new-hire paperwork (tax, direct deposit).  _x000a_- Get your ID badge and an office tour.  _x000a_- Remote hires receive a virtual tour instead.  _x000a_- Receive equipment and help logging into systems.  _x000a_- Set up email, messaging, and required tools.  _x000a_- Review company policies at a high level.  _x000a_- Briefly go over benefits enrollment steps.  _x000a_- Your buddy/mentor helps you get started.  _x000a_- Lunch with your buddy is likely.  _x000a__x000a_Sources:  _x000a_- ^1 [Document 2_ Onboarding Process and New Hire Orientation.txt](https://api.github.com/repos/tobiaszwingmann/lil-n8n-eval/contents/documents/Document%202_%20Onboarding%20Process%20and%20New%20Hire%20Orientation.txt?ref=main)"/>
    <n v="1"/>
    <n v="0.98181818181818181"/>
    <n v="4"/>
    <n v="3"/>
    <b v="0"/>
    <b v="1"/>
    <b v="1"/>
    <s v="The output matches most ground-truth items but adds extra details (welcome email, remote tour, system setup specifics, buddy lunch likelihood) and omits the explicit mention that HR orientation occurs upon arriving by 9:00 AM for HR orientation."/>
    <x v="3"/>
    <x v="7"/>
    <s v="Fri Jun 26 2026 20:35:53 GMT+0000 (Coordinated Universal Time)"/>
    <s v="Sat Jun 27 2026 18:49:09 GMT+0000 (Coordinated Universal Time)"/>
    <x v="3"/>
  </r>
  <r>
    <s v="For a birth mother, how does paid parental leave coordinate with short-term disability?"/>
    <s v="Document 6: Employee Benefits and Perks | Document 7: Leave and Time Off Policies"/>
    <n v="2"/>
    <s v="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
    <s v="For a birth mother (primary caregiver), **paid parental leave runs concurrently with short-term disability (STD)**._x000a__x000a_- **STD**: typically covers **6–8 weeks** of medical recovery time._x000a_- **Paid parental leave**: is **in addition to STD** and **runs concurrently** with it. Primary caregivers can receive **up to 12 weeks total** parental leave, including **6 weeks fully paid** (the remaining 6 weeks are unpaid or can use accrued vacation).[^1]_x000a__x000a_Sources:  _x000a_- ^1 [Document 7_ Leave and Time Off Policies.txt](https://raw.githubusercontent.com/tobiaszwingmann/lil-n8n-eval/main/documents/Document%207_%20Leave%20and%20Time%20Off%20Policies.txt?token=AJJHWKZZXJAF4IEMRBJTXPDKIANWHAA)"/>
    <n v="0"/>
    <n v="0.46913580246913578"/>
    <n v="3"/>
    <n v="3"/>
    <b v="0"/>
    <b v="1"/>
    <b v="1"/>
    <s v="The answer correctly states the overlap and pay (12 weeks total with 6 fully paid, STD 6–8 weeks concurrently), but it omits that STD is company-paid/replaces salary and adds minor unsupported detail about the remaining 6 weeks being unpaid or accrued vacation."/>
    <x v="3"/>
    <x v="8"/>
    <s v="Fri Jun 26 2026 20:35:53 GMT+0000 (Coordinated Universal Time)"/>
    <s v="Sat Jun 27 2026 18:49:21 GMT+0000 (Coordinated Universal Time)"/>
    <x v="3"/>
  </r>
  <r>
    <s v="If I am out sick longer than my paid sick days, what covers my income?"/>
    <s v="Document 6: Employee Benefits and Perks | Document 7: Leave and Time Off Policies"/>
    <n v="2"/>
    <s v="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
    <s v="If you’re out sick longer than your paid sick leave, your income may be covered in these ways:_x000a__x000a_- **After paid sick leave is exhausted:** you can request an **unpaid leave of absence**.  _x000a_- **If you can’t work due to illness/injury:** **Short-Term Disability (STD)** may pay **a portion of your salary** (generally up to **13 weeks**).  _x000a_- **If the condition lasts longer:** **Long-Term Disability (LTD)** may provide income beyond STD.  _x000a__x000a_Sources: ^1 [Document 7_ Leave and Time Off Policies.txt](https://raw.githubusercontent.com/tobiaszwingmann/lil-n8n-eval/main/documents/Document%207_%20Leave%20and%20Time%20Off%20Policies.txt?token=AJJHWK74N6EWXHJ3OZRLB2TKIANW7AA), ^2 [Document 6_ Employee Benefits and Perks.txt](https://raw.githubusercontent.com/tobiaszwingmann/lil-n8n-eval/main/documents/Document%206_%20Employee%20Benefits%20and%20Perks.txt?token=AJJHWKYN5CIYGEY2ACFLWF3KIANW7AA)"/>
    <n v="0"/>
    <n v="0"/>
    <n v="3"/>
    <n v="3"/>
    <b v="0"/>
    <b v="1"/>
    <b v="0"/>
    <s v="The answer omits the key detail that full-time employees receive 10 paid sick days per year, though the disability coverage information matches the reference."/>
    <x v="3"/>
    <x v="9"/>
    <s v="Fri Jun 26 2026 20:35:53 GMT+0000 (Coordinated Universal Time)"/>
    <s v="Sat Jun 27 2026 18:49:36 GMT+0000 (Coordinated Universal Time)"/>
    <x v="3"/>
  </r>
  <r>
    <s v="How do the remote-work policy and IT equipment support work together for a home office?"/>
    <s v="Document 3: General Employment Policies | Document 9: IT Usage and Security Policies"/>
    <n v="2"/>
    <s v="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
    <s v="For home-office remote work, the remote-work policy defines the *requirements*, and the IT/equipment policies define the *support and rules*._x000a__x000a_- Your manager discusses remote-work details. ^1  _x000a_- Remote work requires a proper workspace. ^1  _x000a_- Remote work also requires reliable internet. ^1  _x000a_- If needed, the company provides equipment/stipend. ^1  _x000a_- IT covers how company equipment must be used. ^2  _x000a__x000a_**How IT equipment support fits in**_x000a_- The company provides job-required equipment (e.g., laptop/monitor/phone). ^2  _x000a_- Equipment is for business use first. ^2  _x000a_- If equipment is lost/stolen/damaged, report to IT immediately. ^2  _x000a_- Special home-office needs (e.g., printer): ask IT/HR. ^1 ^2  _x000a_- IT Help Desk supports technical issues and outages. ^2  _x000a_- After-hours emergencies follow the on-call procedure. ^2  _x000a__x000a_**Home-office security expectations**_x000a_- Use strong passwords; don’t share credentials. ^2  _x000a_- Remote access uses Multi-Factor Authentication (MFA). ^2  _x000a_- Store data only in approved company locations. ^2  _x000a_- Laptops are encrypted; don’t disable security settings. ^2  _x000a_- Personal devices may require MDM enrollment for work. ^2  _x000a__x000a_**Workstation setup (health/ergonomics)**_x000a_- Set up your workstation properly to prevent strain. ^3  _x000a_- Ergonomic assessments are available upon request. ^3  _x000a__x000a_Sources:  _x000a_- ^1 [Document 3_ General Employment Policies.txt](https://raw.githubusercontent.com/tobiaszwingmann/lil-n8n-eval/main/documents/Document%203_%20General%20Employment%20Policies.txt?token=AJJHWK36ORXRZRYRJF3OCM3KIANX3AA)  _x000a_- ^2 [Document 9_ IT Usage and Security Policies.txt](https://raw.githubusercontent.com/tobiaszwingmann/lil-n8n-eval/main/documents/Document%209_%20IT%20Usage%20and%20Security%20Policies.txt?token=AJJHWK6FQAL33IW2HZMM263KIANX3AA)  _x000a_- ^3 [Document 10_ Workplace Safety and Emergency Procedures.txt](https://raw.githubusercontent.com/tobiaszwingmann/lil-n8n-eval/main/documents/Document%2010_%20Workplace%20Safety%20and%20Emergency%20Procedures.txt?token=AJJHWK64TZSSVNL6LQ2TGYTKIANX3AA)"/>
    <n v="0"/>
    <n v="0.58156028368794321"/>
    <n v="2"/>
    <n v="4"/>
    <b v="0"/>
    <b v="0"/>
    <b v="1"/>
    <s v="The answer matches the ground truth’s remote/hybrid eligibility, workspace/internet requirements, company stipend/equipment including printer via IT/HR, and disallows personal laptops, but adds several extra IT/security/ergonomics details not present in the reference."/>
    <x v="3"/>
    <x v="10"/>
    <s v="Fri Jun 26 2026 20:35:53 GMT+0000 (Coordinated Universal Time)"/>
    <s v="Sat Jun 27 2026 18:49:55 GMT+0000 (Coordinated Universal Time)"/>
    <x v="3"/>
  </r>
  <r>
    <s v="How are annual performance reviews connected to pay raises and bonuses?"/>
    <s v="Document 5: Compensation, Payroll, and Promotions | Document 8: Performance Reviews and Career Development"/>
    <n v="2"/>
    <s v="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
    <s v="Available HR knowledge library files:  _x000a_- Document 1_ Welcome and Company Overview.txt  _x000a_- Document 2_ Onboarding Process and New Hire Orientation.txt  _x000a_- Document 3_ General Employment Policies.txt  _x000a_- Document 4_ Code of Conduct and Ethics.txt  _x000a_- Document 5_ Compensation, Payroll, and Promotions.txt  _x000a_- Document 6_ Employee Benefits and Perks.txt  _x000a_- Document 7_ Leave and Time Off Policies.txt  _x000a_- Document 8_ Performance Reviews and Career Development.txt  _x000a_- Document 9_ IT Usage and Security Policies.txt  _x000a_- Document 10_ Workplace Safety and Emergency Procedures.txt _x000d__x000a__x000a_Most relevant documents: **Document 8** and **Document 5**.  _x000a__x000a_**Pay raises (merit increases):**  _x000a_- Annual performance review outcomes can influence merit pay increases. [^1]  _x000a_- The company sets an annual raise budget. [^2]  _x000a_- Raises are distributed based on performance ratings and factors. [^2]  _x000a__x000a_**Bonuses:**  _x000a_- Bonuses can be tied to performance goals reviewed annually. [^1]  _x000a_- Annual performance-based bonus: company targets + your goals met/exceeded. [^2]  _x000a_- Bonus criteria are typically communicated during performance review season. [^2]  _x000a__x000a_Sources:  _x000a_- ^1 [Document 8_ Performance Reviews and Career Development.txt](https://raw.githubusercontent.com/tobiaszwingmann/lil-n8n-eval/main/documents/Document%208_%20Performance%20Reviews%20and%20Career%20Development.txt?token=AJJHWK7NEA6VSKDNLCDXPNDKIANZBAA)  _x000a_- ^2 [Document 5_ Compensation, Payroll, and Promotions.txt](https://raw.githubusercontent.com/tobiaszwingmann/lil-n8n-eval/main/documents/Document%205_%20Compensation,%20Payroll,%20and%20Promotions.txt?token=AJJHWK543R366QFNEND3CY3KIANZBAA)"/>
    <n v="1"/>
    <n v="0.98113207547169812"/>
    <n v="3"/>
    <n v="3"/>
    <b v="0"/>
    <b v="1"/>
    <b v="0"/>
    <s v="The answer covers merit increases and performance-based bonuses but omits the year-end + mid-year check-in review timing, rating link, market benchmarks/market factors, and the promotions-to-higher-compensation relationship included in the ground truth."/>
    <x v="3"/>
    <x v="11"/>
    <s v="Fri Jun 26 2026 20:35:53 GMT+0000 (Coordinated Universal Time)"/>
    <s v="Sat Jun 27 2026 18:50:09 GMT+0000 (Coordinated Universal Time)"/>
    <x v="3"/>
  </r>
  <r>
    <s v="Does ABC Inc offer pet insurance as an employee benefit?"/>
    <s v="NA"/>
    <n v="0"/>
    <s v="This is not addressed anywhere in the handbook."/>
    <s v="I’m sorry, I can’t answer that. Please contact HR."/>
    <n v="0"/>
    <n v="1"/>
    <n v="3"/>
    <n v="1"/>
    <b v="0"/>
    <b v="1"/>
    <b v="0"/>
    <s v="The response does not match the ground-truth statement about the issue not being addressed in the handbook."/>
    <x v="3"/>
    <x v="12"/>
    <s v="Fri Jun 26 2026 20:35:53 GMT+0000 (Coordinated Universal Time)"/>
    <s v="Sat Jun 27 2026 18:50:21 GMT+0000 (Coordinated Universal Time)"/>
    <x v="3"/>
  </r>
  <r>
    <s v="What is the company's sabbatical leave policy?"/>
    <s v="NA"/>
    <n v="0"/>
    <s v="This is not addressed anywhere in the handbook; the leave policy covers vacation, sick, personal, parental, bereavement, jury, military, and unpaid leave only."/>
    <s v="Our leave library doesn’t describe a separate “sabbatical leave” program in **Document 7: Leave and Time Off Policies**.[^1]_x000a__x000a_For extended time off not covered by the listed leave types, you can request an **unpaid leave of absence**:[^1]_x000a_- Approval is discretionary._x000a_- Depends on business needs and your situation._x000a_- Typically granted up to **30 days** for unpaid personal leaves._x000a_- Some benefits may continue, case-by-case._x000a_- You may need to pay your portion of premiums._x000a__x000a_If you want, tell me whether you’re asking for a paid or unpaid sabbatical, and the approximate length, and I’ll point you to the closest match in the policy.[^1]_x000a__x000a_Sources:  _x000a_- ^1 [Document 7_ Leave and Time Off Policies.txt](https://raw.githubusercontent.com/tobiaszwingmann/lil-n8n-eval/main/documents/Document%207_%20Leave%20and%20Time%20Off%20Policies.txt?token=AJJHWK7E64JKNYNXSQVPESLKIAN2ZAA)"/>
    <n v="0"/>
    <n v="0"/>
    <n v="3"/>
    <n v="3"/>
    <b v="0"/>
    <b v="0"/>
    <b v="1"/>
    <s v="The answer claims a sabbatical leave gap and mentions requesting unpaid leave of absence, but the ground truth only states that sabbatical isn’t addressed and lists the leave types covered."/>
    <x v="3"/>
    <x v="13"/>
    <s v="Fri Jun 26 2026 20:35:53 GMT+0000 (Coordinated Universal Time)"/>
    <s v="Sat Jun 27 2026 18:50:42 GMT+0000 (Coordinated Universal Time)"/>
    <x v="3"/>
  </r>
  <r>
    <s v="What is the dress code?"/>
    <s v="Document 3: General Employment Policies"/>
    <n v="1"/>
    <s v="Business casual - e.g., collared shirts, blouses, slacks or neat jeans, and closed-toe shoes. Fridays are casual (jeans and sneakers welcome). Remote staff may dress more casually but should be presentable for video meetings."/>
    <s v="Our dress code is **business-casual**.** [^1]**_x000a__x000a_- Collared shirts, blouses, slacks, or neat jeans. [^1]  _x000a_- Closed-toe shoes are generally fine. [^1]  _x000a_- Friday is casual: jeans and sneakers welcome. [^1]  _x000a_- Remote work can be more casual, but be presentable. [^1]  _x000a_- Some teams may require specific attire from your manager. [^1]  _x000a__x000a_Sources:  _x000a_- ^1 [Document 3_ General Employment Policies.txt](https://raw.githubusercontent.com/tobiaszwingmann/lil-n8n-eval/main/documents/Document%203_%20General%20Employment%20Policies.txt?token=AJJHWK5QKY6HI4ZSUJG6HY3KIAN4BAA)"/>
    <n v="1"/>
    <n v="0.97435897435897434"/>
    <n v="4"/>
    <n v="4"/>
    <b v="0"/>
    <b v="0"/>
    <b v="1"/>
    <s v="The output matches the ground truth dress code guidance but adds an extra point about managers/teams requiring specific attire that is not in the reference."/>
    <x v="3"/>
    <x v="14"/>
    <s v="Fri Jun 26 2026 20:35:53 GMT+0000 (Coordinated Universal Time)"/>
    <s v="Sat Jun 27 2026 18:50:54 GMT+0000 (Coordinated Universal Time)"/>
    <x v="3"/>
  </r>
  <r>
    <s v="What login security is required for remote access and important applications?"/>
    <s v="Document 9: IT Usage and Security Policies"/>
    <n v="1"/>
    <s v="Multi-Factor Authentication (MFA)"/>
    <s v="Remote access and important applications require Multi-Factor Authentication._x000a__x000a_This means a second login step is needed, such as:_x000a__x000a_- Authenticator app code_x000a_- Text message code_x000a__x000a_Use strong passwords and never share them.^1_x000a__x000a_Sources:  _x000a_- ^1 [Document 9_ IT Usage and Security Policies.txt](https://api.github.com/repos/tobiaszwingmann/lil-n8n-eval/contents/documents/Document%209_%20IT%20Usage%20and%20Security%20Policies.txt?ref=main)"/>
    <n v="1"/>
    <n v="0.97619047619047616"/>
    <n v="4"/>
    <n v="3"/>
    <b v="0"/>
    <b v="1"/>
    <b v="1"/>
    <s v="The answer adds details about MFA usage (codes, authenticator/text messages, strong passwords) that go beyond the ground truth, and it omits the required minimal reference content beyond stating MFA generally."/>
    <x v="4"/>
    <x v="0"/>
    <s v="Fri Jun 26 2026 20:35:53 GMT+0000 (Coordinated Universal Time)"/>
    <s v="Sat Jun 27 2026 20:52:33 GMT+0000 (Coordinated Universal Time)"/>
    <x v="4"/>
  </r>
  <r>
    <s v="What technique should you use to operate a fire extinguisher?"/>
    <s v="Document 10: Workplace Safety and Emergency Procedures"/>
    <n v="1"/>
    <s v="The PASS method: Pull the pin, Aim at the base, Squeeze the trigger, Sweep side to side"/>
    <s v="Use the PASS method:_x000a__x000a_- Pull the pin._x000a_- Aim at the base._x000a_- Squeeze the trigger._x000a_- Sweep side to side._x000a__x000a_Use it only if trained.  _x000a_The fire must be very small.^1_x000a__x000a_Sources:  _x000a_- ^1 [Document 10_ Workplace Safety and Emergency Procedures.txt](https://api.github.com/repos/tobiaszwingmann/lil-n8n-eval/contents/documents/Document%2010_%20Workplace%20Safety%20and%20Emergency%20Procedures.txt?ref=main)"/>
    <n v="1"/>
    <n v="0.98148148148148151"/>
    <n v="4"/>
    <n v="4"/>
    <b v="0"/>
    <b v="0"/>
    <b v="1"/>
    <s v="The answer includes the correct PASS steps verbatim, but adds extra unsafe-context details beyond the ground truth."/>
    <x v="4"/>
    <x v="1"/>
    <s v="Fri Jun 26 2026 20:35:53 GMT+0000 (Coordinated Universal Time)"/>
    <s v="Sat Jun 27 2026 20:52:42 GMT+0000 (Coordinated Universal Time)"/>
    <x v="4"/>
  </r>
  <r>
    <s v="Where is the primary emergency assembly point during an evacuation?"/>
    <s v="Document 10: Workplace Safety and Emergency Procedures"/>
    <n v="1"/>
    <s v="The parking lot across the street"/>
    <s v="The primary emergency assembly point is the parking lot across the street. It may also be a designated spot noted on the evacuation map.^1_x000a__x000a_Sources: _x000a_- ^1 [Document 10_ Workplace Safety and Emergency Procedures.txt](https://api.github.com/repos/tobiaszwingmann/lil-n8n-eval/contents/documents/Document%2010_%20Workplace%20Safety%20and%20Emergency%20Procedures.txt?ref=main)"/>
    <n v="1"/>
    <n v="0.98148148148148151"/>
    <n v="4"/>
    <n v="4"/>
    <b v="0"/>
    <b v="0"/>
    <b v="1"/>
    <s v="The answer correctly states the parking lot across the street but adds extra unneeded detail about an evacuation map and citation formatting."/>
    <x v="4"/>
    <x v="2"/>
    <s v="Fri Jun 26 2026 20:35:53 GMT+0000 (Coordinated Universal Time)"/>
    <s v="Sat Jun 27 2026 20:52:50 GMT+0000 (Coordinated Universal Time)"/>
    <x v="4"/>
  </r>
  <r>
    <s v="How often are employees paid?"/>
    <s v="Document 5: Compensation, Payroll, and Promotions"/>
    <n v="1"/>
    <s v="Every two weeks (bi-weekly), typically every other Friday"/>
    <s v="Employees are paid bi-weekly._x000a__x000a_This means every two weeks, typically every other Friday. Each paycheck covers the two-week pay period ending about one week before payday.^1_x000a__x000a_Sources:  _x000a_- ^1 [Document 5_ Compensation, Payroll, and Promotions.txt](https://api.github.com/repos/tobiaszwingmann/lil-n8n-eval/contents/documents/Document%205_%20Compensation,%20Payroll,%20and%20Promotions.txt?ref=main)"/>
    <n v="1"/>
    <n v="0.97959183673469385"/>
    <n v="4"/>
    <n v="4"/>
    <b v="0"/>
    <b v="0"/>
    <b v="1"/>
    <s v="The output correctly states the bi-weekly schedule and typical every-other-Friday timing but adds extra pay-period timing details not present in the ground truth."/>
    <x v="4"/>
    <x v="3"/>
    <s v="Fri Jun 26 2026 20:35:53 GMT+0000 (Coordinated Universal Time)"/>
    <s v="Sat Jun 27 2026 20:52:58 GMT+0000 (Coordinated Universal Time)"/>
    <x v="4"/>
  </r>
  <r>
    <s v="Explain the process for requesting parental leave."/>
    <s v="Document 7: Leave and Time Off Policies"/>
    <n v="1"/>
    <s v="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
    <s v="To request parental leave:_x000a__x000a_- Inform HR as early as possible._x000a_- Give at least 30 days’ notice, if feasible._x000a_- Work with HR on required paperwork._x000a_- Coordinate timing with your manager._x000a_- Manager approval is needed for flexible arrangements._x000a_- HR helps plan your absence and benefits.^1_x000a__x000a_Parental leave applies to birth, adoption, or foster placement. Primary caregivers may take up to 12 weeks. Secondary caregivers may take 2 paid weeks.^1_x000a__x000a_Sources:  _x000a_- ^1 [Document 7_ Leave and Time Off Policies.txt](https://api.github.com/repos/tobiaszwingmann/lil-n8n-eval/contents/documents/Document%207_%20Leave%20and%20Time%20Off%20Policies.txt?ref=main)"/>
    <n v="1"/>
    <n v="0.97435897435897434"/>
    <n v="3"/>
    <n v="3"/>
    <b v="0"/>
    <b v="1"/>
    <b v="1"/>
    <s v="The answer omits the fully-paid/unpaid breakdown for primary caregivers and the FMLA paperwork detail, while adding extra points (manager approval, paperwork planning, sources formatting) not present in the ground truth."/>
    <x v="4"/>
    <x v="4"/>
    <s v="Fri Jun 26 2026 20:35:53 GMT+0000 (Coordinated Universal Time)"/>
    <s v="Sat Jun 27 2026 20:53:07 GMT+0000 (Coordinated Universal Time)"/>
    <x v="4"/>
  </r>
  <r>
    <s v="Walk me through the steps of the annual performance review."/>
    <s v="Document 8: Performance Reviews and Career Development"/>
    <n v="1"/>
    <s v="Goals are set at the start of the year. The annual review (year-end, with a mid-year check-in) includes a self-assessment, a manager evaluation against goals, optional 360-degree feedback, a one-on-one review meeting, and a rating/outcome that can influence merit increases or bonuses."/>
    <s v="The annual performance review usually follows these steps:^1_x000a__x000a_- Set SMART goals with your manager.^1_x000a_- Complete your self-assessment.^1_x000a_- Manager evaluates goals and role expectations.^1_x000a_- 360-degree feedback may be gathered.^1_x000a_- Meet one-on-one with your manager.^1_x000a_- Discuss achievements, challenges, and future plans.^1_x000a_- Review rating and outcome.^1_x000a_- Use feedback for development planning.^1_x000a__x000a_Reviews happen annually, typically year-end.  _x000a_There is also a mid-year check-in.  _x000a_Outcomes may affect merit increases or bonuses.^1_x000a__x000a_Sources:  _x000a_- ^1 [Document 8_ Performance Reviews and Career Development.txt](https://api.github.com/repos/tobiaszwingmann/lil-n8n-eval/contents/documents/Document%208_%20Performance%20Reviews%20and%20Career%20Development.txt?ref=main)"/>
    <n v="1"/>
    <n v="0.98148148148148151"/>
    <n v="3"/>
    <n v="4"/>
    <b v="0"/>
    <b v="0"/>
    <b v="1"/>
    <s v="The answer matches all key elements (start-of-year goals, year-end review with mid-year check-in, self-assessment, manager evaluation, optional 360 feedback, one-on-one, and rating/outcome affecting merit/bonuses) but adds extra step phrasing like SMART goals and additional development-planning steps not stated in the reference."/>
    <x v="4"/>
    <x v="5"/>
    <s v="Fri Jun 26 2026 20:35:53 GMT+0000 (Coordinated Universal Time)"/>
    <s v="Sat Jun 27 2026 20:53:25 GMT+0000 (Coordinated Universal Time)"/>
    <x v="4"/>
  </r>
  <r>
    <s v="Summarize who is eligible to work remotely and what is expected of them."/>
    <s v="Document 3: General Employment Policies"/>
    <n v="1"/>
    <s v="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
    <s v="Remote work eligibility depends on:_x000a__x000a_- Role suitability._x000a_- Team needs._x000a_- Manager discussion and approval._x000a_- Department hybrid guidelines, if applicable. ^1_x000a__x000a_Remote employees are expected to:_x000a__x000a_- Have a proper workspace._x000a_- Maintain reliable internet._x000a_- Be available online._x000a_- Attend meetings._x000a_- Stay fully engaged._x000a_- Meet normal productivity expectations. ^1_x000a__x000a_Sources:  _x000a_- ^1 [Document 3_ General Employment Policies.txt](https://api.github.com/repos/tobiaszwingmann/lil-n8n-eval/contents/documents/Document%203_%20General%20Employment%20Policies.txt?ref=main)"/>
    <n v="1"/>
    <n v="0.97435897435897434"/>
    <n v="3"/>
    <n v="4"/>
    <b v="0"/>
    <b v="0"/>
    <b v="1"/>
    <s v="The answer matches all required points from the ground truth but adds extra items (role suitability/team needs and explicit manager approval/hybrid guidelines phrasing) not stated in the reference."/>
    <x v="4"/>
    <x v="6"/>
    <s v="Fri Jun 26 2026 20:35:53 GMT+0000 (Coordinated Universal Time)"/>
    <s v="Sat Jun 27 2026 20:53:41 GMT+0000 (Coordinated Universal Time)"/>
    <x v="4"/>
  </r>
  <r>
    <s v="What should a new hire expect on their first day?"/>
    <s v="Document 2: Onboarding Process and New Hire Orientation"/>
    <n v="1"/>
    <s v="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
    <s v="On a new hire’s first day, they should expect:_x000a__x000a_- Arrive at the front desk by 9:00 AM._x000a_- Meet HR for orientation._x000a_- Complete remaining new hire paperwork._x000a_- Receive ID badge and office tour._x000a_- Get equipment and system login help._x000a_- Review key company policies._x000a_- Learn benefits enrollment basics._x000a_- Ask initial questions._x000a_- Meet a buddy or mentor._x000a_- Likely have lunch with their buddy.^1_x000a__x000a_Sources:  _x000a_- ^1 [Document 2_ Onboarding Process and New Hire Orientation.txt](https://api.github.com/repos/tobiaszwingmann/lil-n8n-eval/contents/documents/Document%202_%20Onboarding%20Process%20and%20New%20Hire%20Orientation.txt?ref=main)"/>
    <n v="1"/>
    <n v="0.98181818181818181"/>
    <n v="4"/>
    <n v="4"/>
    <b v="0"/>
    <b v="0"/>
    <b v="1"/>
    <s v="The output matches all required onboarding items but adds a few extra details (e.g., reviewing policies/benefits as separate steps and ‘ask initial questions’) beyond the reference."/>
    <x v="4"/>
    <x v="7"/>
    <s v="Fri Jun 26 2026 20:35:53 GMT+0000 (Coordinated Universal Time)"/>
    <s v="Sat Jun 27 2026 20:53:52 GMT+0000 (Coordinated Universal Time)"/>
    <x v="4"/>
  </r>
  <r>
    <s v="For a birth mother, how does paid parental leave coordinate with short-term disability?"/>
    <s v="Document 6: Employee Benefits and Perks | Document 7: Leave and Time Off Policies"/>
    <n v="2"/>
    <s v="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
    <s v="For a birth mother, parental leave is up to 12 weeks. The company fully pays 6 weeks. The remaining 6 weeks may be unpaid, or covered with accrued vacation. Short-term disability typically covers 6–8 weeks of medical recovery and runs concurrently with parental leave.^1_x000a__x000a_Short-term disability pays a portion of salary when you cannot work due to illness or injury. It generally lasts up to 13 weeks.^2_x000a__x000a_Sources:  _x000a_- ^1 [Document 7_ Leave and Time Off Policies.txt](https://api.github.com/repos/tobiaszwingmann/lil-n8n-eval/contents/documents/Document%207_%20Leave%20and%20Time%20Off%20Policies.txt?ref=main)  _x000a_- ^2 [Document 6_ Employee Benefits and Perks.txt](https://api.github.com/repos/tobiaszwingmann/lil-n8n-eval/contents/documents/Document%206_%20Employee%20Benefits%20and%20Perks.txt?ref=main)"/>
    <n v="1"/>
    <n v="0.97530864197530864"/>
    <n v="3"/>
    <n v="3"/>
    <b v="0"/>
    <b v="1"/>
    <b v="1"/>
    <s v="The answer mostly matches the ground truth on leave/STD details but misses the coordination/paperwork with HR and adds some redundant or slightly broadened phrasing about STD duration/pay beyond the cited overlap context."/>
    <x v="4"/>
    <x v="8"/>
    <s v="Fri Jun 26 2026 20:35:53 GMT+0000 (Coordinated Universal Time)"/>
    <s v="Sat Jun 27 2026 20:54:09 GMT+0000 (Coordinated Universal Time)"/>
    <x v="4"/>
  </r>
  <r>
    <s v="If I am out sick longer than my paid sick days, what covers my income?"/>
    <s v="Document 6: Employee Benefits and Perks | Document 7: Leave and Time Off Policies"/>
    <n v="2"/>
    <s v="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
    <s v="If you exhaust paid sick leave, **Short-Term Disability (STD)** may cover part of your income if illness or injury prevents you from working. STD generally pays a portion of salary for up to **13 weeks**. If the condition continues beyond that, **Long-Term Disability (LTD)** may provide income support.^1_x000a__x000a_You may also request an **unpaid leave of absence** if paid leave is exhausted. Approval depends on company discretion and business needs.^2_x000a__x000a_Sources:  _x000a_- ^1 [Document 6_ Employee Benefits and Perks.txt](https://api.github.com/repos/tobiaszwingmann/lil-n8n-eval/contents/documents/Document%206_%20Employee%20Benefits%20and%20Perks.txt?ref=main)  _x000a_- ^2 [Document 7_ Leave and Time Off Policies.txt](https://api.github.com/repos/tobiaszwingmann/lil-n8n-eval/contents/documents/Document%207_%20Leave%20and%20Time%20Off%20Policies.txt?ref=main)"/>
    <n v="1"/>
    <n v="0.97530864197530864"/>
    <n v="3"/>
    <n v="3"/>
    <b v="0"/>
    <b v="1"/>
    <b v="1"/>
    <s v="The answer correctly describes STD/LTD coverage up to about 13 weeks but omits the specific detail about 10 paid sick days per year and adds unrelated information about unpaid leave policies."/>
    <x v="4"/>
    <x v="9"/>
    <s v="Fri Jun 26 2026 20:35:53 GMT+0000 (Coordinated Universal Time)"/>
    <s v="Sat Jun 27 2026 20:54:27 GMT+0000 (Coordinated Universal Time)"/>
    <x v="4"/>
  </r>
  <r>
    <s v="How do the remote-work policy and IT equipment support work together for a home office?"/>
    <s v="Document 3: General Employment Policies | Document 9: IT Usage and Security Policies"/>
    <n v="2"/>
    <s v="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
    <s v="The policies work together this way: remote work sets the home-office expectations, while IT support provides and protects the tools needed to work there. You need a proper workspace, reliable internet, and manager-approved remote arrangements. You must stay available, attend meetings, and meet normal productivity expectations. ^1_x000a__x000a_For equipment, the company may provide a stipend or equipment for your home setup. IT can provide items like laptops, monitors, phones, or other devices. For special needs, such as a printer, contact IT/HR about reimbursement or peripherals. ^1 ^2_x000a__x000a_You must use company equipment mainly for business. Do not install unauthorized software or hardware. Report lost, stolen, damaged, or malfunctioning equipment to IT immediately. ^2_x000a__x000a_Remote work also requires security compliance. Use MFA for remote access, store data only in approved locations, and follow BYOD rules for personal phones or tablets. Personal laptops are generally not allowed unless authorized. ^2_x000a__x000a_Sources:  _x000a_- ^1 [Document 3_ General Employment Policies.txt](https://api.github.com/repos/tobiaszwingmann/lil-n8n-eval/contents/documents/Document%203_%20General%20Employment%20Policies.txt?ref=main)  _x000a_- ^2 [Document 9_ IT Usage and Security Policies.txt](https://api.github.com/repos/tobiaszwingmann/lil-n8n-eval/contents/documents/Document%209_%20IT%20Usage%20and%20Security%20Policies.txt?ref=main)"/>
    <n v="1"/>
    <n v="0.97619047619047616"/>
    <n v="3"/>
    <n v="4"/>
    <b v="0"/>
    <b v="0"/>
    <b v="1"/>
    <s v="The answer matches the ground truth about remote eligibility, workspace/internet, and company-provided equipment/peripherals, but adds extra policy details (availability/meetings, productivity expectations, equipment usage rules, MFA/security/BYOD) not present in the reference."/>
    <x v="4"/>
    <x v="10"/>
    <s v="Fri Jun 26 2026 20:35:53 GMT+0000 (Coordinated Universal Time)"/>
    <s v="Sat Jun 27 2026 20:54:49 GMT+0000 (Coordinated Universal Time)"/>
    <x v="4"/>
  </r>
  <r>
    <s v="How are annual performance reviews connected to pay raises and bonuses?"/>
    <s v="Document 5: Compensation, Payroll, and Promotions | Document 8: Performance Reviews and Career Development"/>
    <n v="2"/>
    <s v="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
    <s v="Annual reviews can affect pay raises and bonuses._x000a__x000a_- Reviews may influence merit increases._x000a_- Reviews may influence bonuses._x000a_- Raises use performance ratings._x000a_- Raises also use market benchmarks._x000a_- Company raise budgets also apply._x000a_- Bonuses are not guaranteed._x000a_- Bonuses depend on company profitability._x000a_- Bonuses depend on personal performance._x000a_- Criteria are usually shared during reviews.^1 ^2_x000a__x000a_Sources:  _x000a_- ^1 [Document 8_ Performance Reviews and Career Development.txt](https://api.github.com/repos/tobiaszwingmann/lil-n8n-eval/contents/documents/Document%208_%20Performance%20Reviews%20and%20Career%20Development.txt?ref=main)  _x000a_- ^2 [Document 5_ Compensation, Payroll, and Promotions.txt](https://api.github.com/repos/tobiaszwingmann/lil-n8n-eval/contents/documents/Document%205_%20Compensation,%20Payroll,%20and%20Promotions.txt?ref=main)"/>
    <n v="1"/>
    <n v="0.98113207547169812"/>
    <n v="3"/>
    <n v="3"/>
    <b v="0"/>
    <b v="1"/>
    <b v="1"/>
    <s v="The answer correctly links annual performance reviews to merit-based raises and bonuses, but omits key details about mid-year check-ins, the need for both company targets and individual goals for bonuses, and promotions, while adding some extra generalities like bonuses not being guaranteed."/>
    <x v="4"/>
    <x v="11"/>
    <s v="Fri Jun 26 2026 20:35:53 GMT+0000 (Coordinated Universal Time)"/>
    <s v="Sat Jun 27 2026 20:55:00 GMT+0000 (Coordinated Universal Time)"/>
    <x v="4"/>
  </r>
  <r>
    <s v="Does ABC Inc offer pet insurance as an employee benefit?"/>
    <s v="NA"/>
    <n v="0"/>
    <s v="This is not addressed anywhere in the handbook."/>
    <s v="I’m sorry, I can’t answer that. Please contact HR."/>
    <n v="0"/>
    <n v="1"/>
    <n v="3"/>
    <n v="1"/>
    <b v="0"/>
    <b v="1"/>
    <b v="1"/>
    <s v="The response does not match the ground truth claim that the issue is not addressed in the handbook, and it adds an HR contact suggestion beyond the reference."/>
    <x v="4"/>
    <x v="12"/>
    <s v="Fri Jun 26 2026 20:35:53 GMT+0000 (Coordinated Universal Time)"/>
    <s v="Sat Jun 27 2026 20:55:11 GMT+0000 (Coordinated Universal Time)"/>
    <x v="4"/>
  </r>
  <r>
    <s v="What is the company's sabbatical leave policy?"/>
    <s v="NA"/>
    <n v="0"/>
    <s v="This is not addressed anywhere in the handbook; the leave policy covers vacation, sick, personal, parental, bereavement, jury, military, and unpaid leave only."/>
    <s v="I’m sorry, I can’t answer that. Please contact HR."/>
    <n v="0"/>
    <n v="1"/>
    <n v="3"/>
    <n v="1"/>
    <b v="0"/>
    <b v="1"/>
    <b v="0"/>
    <s v="The response refuses without providing the specific handbook/leave-policy information stated in the ground truth."/>
    <x v="4"/>
    <x v="13"/>
    <s v="Fri Jun 26 2026 20:35:53 GMT+0000 (Coordinated Universal Time)"/>
    <s v="Sat Jun 27 2026 20:55:23 GMT+0000 (Coordinated Universal Time)"/>
    <x v="4"/>
  </r>
  <r>
    <s v="What is the dress code?"/>
    <s v="Document 3: General Employment Policies"/>
    <n v="1"/>
    <s v="Business casual - e.g., collared shirts, blouses, slacks or neat jeans, and closed-toe shoes. Fridays are casual (jeans and sneakers welcome). Remote staff may dress more casually but should be presentable for video meetings."/>
    <s v="Our dress code is business-casual.^1_x000a__x000a_- Dress professionally and comfortably._x000a_- Collared shirts and blouses are fine._x000a_- Slacks or neat jeans are fine._x000a_- Closed-toe shoes are generally fine._x000a_- Fridays allow jeans and sneakers._x000a_- Remote work can be more casual._x000a_- Be presentable for video meetings._x000a_- Some teams may have specific requirements._x000a__x000a_Sources:  _x000a_- ^1 [Document 3_ General Employment Policies.txt](https://api.github.com/repos/tobiaszwingmann/lil-n8n-eval/contents/documents/Document%203_%20General%20Employment%20Policies.txt?ref=main)"/>
    <n v="1"/>
    <n v="0.97435897435897434"/>
    <n v="4"/>
    <n v="4"/>
    <b v="0"/>
    <b v="0"/>
    <b v="1"/>
    <s v="The answer matches all key policy points from the ground truth but adds extra non-specified details like general comfort guidance, remote-work wording, and team-specific requirements."/>
    <x v="4"/>
    <x v="14"/>
    <s v="Fri Jun 26 2026 20:35:53 GMT+0000 (Coordinated Universal Time)"/>
    <s v="Sat Jun 27 2026 20:55:33 GMT+0000 (Coordinated Universal Time)"/>
    <x v="4"/>
  </r>
  <r>
    <s v="What login security is required for remote access and important applications?"/>
    <s v="Document 9: IT Usage and Security Policies"/>
    <n v="1"/>
    <s v="Multi-Factor Authentication (MFA)"/>
    <s v="Remote access and important applications require Multi-Factor Authentication._x000a__x000a_This means a second login step is needed.  _x000a_Examples include:_x000a__x000a_- Authenticator app code_x000a_- Text message code_x000a__x000a_Source:  _x000a_- ^1 [Document 9_ IT Usage and Security Policies.txt](https://api.github.com/repos/tobiaszwingmann/lil-n8n-eval/contents/documents/Document%209_%20IT%20Usage%20and%20Security%20Policies.txt?ref=main)"/>
    <n v="1"/>
    <n v="0"/>
    <n v="4"/>
    <n v="4"/>
    <b v="0"/>
    <b v="0"/>
    <b v="1"/>
    <s v="The output correctly identifies MFA but adds extra details (second login step and example methods) beyond the ground truth scope."/>
    <x v="5"/>
    <x v="0"/>
    <s v="Fri Jun 26 2026 20:35:53 GMT+0000 (Coordinated Universal Time)"/>
    <s v="Sat Jun 27 2026 21:02:20 GMT+0000 (Coordinated Universal Time)"/>
    <x v="0"/>
  </r>
  <r>
    <s v="What technique should you use to operate a fire extinguisher?"/>
    <s v="Document 10: Workplace Safety and Emergency Procedures"/>
    <n v="1"/>
    <s v="The PASS method: Pull the pin, Aim at the base, Squeeze the trigger, Sweep side to side"/>
    <s v="Use the PASS method:_x000a__x000a_- Pull the pin._x000a_- Aim at base._x000a_- Squeeze trigger._x000a_- Sweep side to side._x000a__x000a_Use a fire extinguisher only if trained.  _x000a_The fire must be very small.^1_x000a__x000a_Sources:  _x000a_- ^1 [Document 10_ Workplace Safety and Emergency Procedures.txt](https://api.github.com/repos/tobiaszwingmann/lil-n8n-eval/contents/documents/Document%2010_%20Workplace%20Safety%20and%20Emergency%20Procedures.txt?ref=main)"/>
    <n v="1"/>
    <n v="0.98148148148148151"/>
    <n v="4"/>
    <n v="4"/>
    <b v="0"/>
    <b v="0"/>
    <b v="1"/>
    <s v="The answer correctly states the PASS method sequence but adds extra, out-of-scope guidance not present in the ground truth."/>
    <x v="5"/>
    <x v="1"/>
    <s v="Fri Jun 26 2026 20:35:53 GMT+0000 (Coordinated Universal Time)"/>
    <s v="Sat Jun 27 2026 21:02:29 GMT+0000 (Coordinated Universal Time)"/>
    <x v="0"/>
  </r>
  <r>
    <s v="Where is the primary emergency assembly point during an evacuation?"/>
    <s v="Document 10: Workplace Safety and Emergency Procedures"/>
    <n v="1"/>
    <s v="The parking lot across the street"/>
    <s v="The primary emergency assembly point is the parking lot across the street. It may also be a designated spot noted on the evacuation map.^1_x000a__x000a_Sources:  _x000a_- ^1 [Document 10_ Workplace Safety and Emergency Procedures.txt](https://api.github.com/repos/tobiaszwingmann/lil-n8n-eval/contents/documents/Document%2010_%20Workplace%20Safety%20and%20Emergency%20Procedures.txt?ref=main)"/>
    <n v="1"/>
    <n v="0.98148148148148151"/>
    <n v="4"/>
    <n v="4"/>
    <b v="0"/>
    <b v="0"/>
    <b v="1"/>
    <s v="The answer matches the ground truth but adds an extra caveat about an evacuation map spot with a source citation not required by the reference."/>
    <x v="5"/>
    <x v="2"/>
    <s v="Fri Jun 26 2026 20:35:53 GMT+0000 (Coordinated Universal Time)"/>
    <s v="Sat Jun 27 2026 21:02:37 GMT+0000 (Coordinated Universal Time)"/>
    <x v="0"/>
  </r>
  <r>
    <s v="How often are employees paid?"/>
    <s v="Document 5: Compensation, Payroll, and Promotions"/>
    <n v="1"/>
    <s v="Every two weeks (bi-weekly), typically every other Friday"/>
    <s v="Employees are paid bi-weekly._x000a__x000a_You receive a paycheck every two weeks.  _x000a_This is typically every other Friday. ^1_x000a__x000a_Sources:  _x000a_- ^1 [Document 5_ Compensation, Payroll, and Promotions.txt](https://api.github.com/repos/tobiaszwingmann/lil-n8n-eval/contents/documents/Document%205_%20Compensation,%20Payroll,%20and%20Promotions.txt?ref=main)"/>
    <n v="1"/>
    <n v="0.97959183673469385"/>
    <n v="5"/>
    <n v="5"/>
    <b v="0"/>
    <b v="0"/>
    <b v="0"/>
    <s v="The answer correctly states that employees are paid every two weeks (bi-weekly), typically every other Friday, matching the ground truth without adding anything extra."/>
    <x v="5"/>
    <x v="3"/>
    <s v="Fri Jun 26 2026 20:35:53 GMT+0000 (Coordinated Universal Time)"/>
    <s v="Sat Jun 27 2026 21:02:45 GMT+0000 (Coordinated Universal Time)"/>
    <x v="0"/>
  </r>
  <r>
    <s v="Explain the process for requesting parental leave."/>
    <s v="Document 7: Leave and Time Off Policies"/>
    <n v="1"/>
    <s v="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
    <s v="To request parental leave:_x000a__x000a_- Inform HR as early as possible._x000a_- Give at least 30 days’ notice, if feasible._x000a_- HR will coordinate paperwork._x000a_- HR will help plan your absence._x000a_- Work with HR on extra forms._x000a_- Extra forms may apply if FMLA applies._x000a_- Flexible leave needs manager approval.^1_x000a__x000a_Parental leave applies to birth, adoption, or foster placement.^1_x000a__x000a_Sources:  _x000a_- ^1 [Document 7_ Leave and Time Off Policies.txt](https://api.github.com/repos/tobiaszwingmann/lil-n8n-eval/contents/documents/Document%207_%20Leave%20and%20Time%20Off%20Policies.txt?ref=main)"/>
    <n v="1"/>
    <n v="0.97435897435897434"/>
    <n v="3"/>
    <n v="3"/>
    <b v="0"/>
    <b v="1"/>
    <b v="1"/>
    <s v="The output includes some correct HR-notice guidance but omits the leave duration/payment details for primary vs secondary caregivers from the ground truth and adds extra items (e.g., manager approval for flexible leave, foster placement wording) not stated in the reference."/>
    <x v="5"/>
    <x v="4"/>
    <s v="Fri Jun 26 2026 20:35:53 GMT+0000 (Coordinated Universal Time)"/>
    <s v="Sat Jun 27 2026 21:02:55 GMT+0000 (Coordinated Universal Time)"/>
    <x v="0"/>
  </r>
  <r>
    <s v="Walk me through the steps of the annual performance review."/>
    <s v="Document 8: Performance Reviews and Career Development"/>
    <n v="1"/>
    <s v="Goals are set at the start of the year. The annual review (year-end, with a mid-year check-in) includes a self-assessment, a manager evaluation against goals, optional 360-degree feedback, a one-on-one review meeting, and a rating/outcome that can influence merit increases or bonuses."/>
    <s v="The annual performance review includes these steps:_x000a__x000a_1. Set goals with your manager._x000a_2. Complete your self-assessment._x000a_3. Manager evaluates your performance._x000a_4. 360-degree feedback may be gathered._x000a_5. Meet one-on-one with your manager._x000a_6. Discuss feedback and career goals._x000a_7. Receive rating and review outcome._x000a_8. Plan future growth and development.^1_x000a__x000a_Reviews happen annually, typically year-end.  _x000a_There is also a mid-year check-in.^1_x000a__x000a_Sources:  _x000a_- ^1 [Document 8_ Performance Reviews and Career Development.txt](https://api.github.com/repos/tobiaszwingmann/lil-n8n-eval/contents/documents/Document%208_%20Performance%20Reviews%20and%20Career%20Development.txt?ref=main)"/>
    <n v="1"/>
    <n v="0.98148148148148151"/>
    <n v="3"/>
    <n v="2"/>
    <b v="0"/>
    <b v="1"/>
    <b v="1"/>
    <s v="The answer matches most of the listed review components but omits that goals are set at the start of the year and the rating/outcome can influence merit increases or bonuses, while adding extra step detail beyond what the reference states."/>
    <x v="5"/>
    <x v="5"/>
    <s v="Fri Jun 26 2026 20:35:53 GMT+0000 (Coordinated Universal Time)"/>
    <s v="Sat Jun 27 2026 21:03:04 GMT+0000 (Coordinated Universal Time)"/>
    <x v="0"/>
  </r>
  <r>
    <s v="Summarize who is eligible to work remotely and what is expected of them."/>
    <s v="Document 3: General Employment Policies"/>
    <n v="1"/>
    <s v="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
    <s v="Employees may work remotely if their position is eligible. Many roles allow part-week or full-time remote work. Eligibility depends on team needs. Details are discussed with the manager.^1_x000a__x000a_Remote employees are expected to:_x000a__x000a_- Maintain a proper workspace._x000a_- Have reliable internet._x000a_- Stay available online._x000a_- Attend required meetings._x000a_- Meet productivity expectations._x000a_- Follow department hybrid guidelines._x000a_- Use company equipment responsibly._x000a_- Follow IT security requirements.^1 ^2_x000a__x000a_Sources:  _x000a_- ^1 [Document 3_ General Employment Policies.txt](https://api.github.com/repos/tobiaszwingmann/lil-n8n-eval/contents/documents/Document%203_%20General%20Employment%20Policies.txt?ref=main)  _x000a_- ^2 [Document 9_ IT Usage and Security Policies.txt](https://api.github.com/repos/tobiaszwingmann/lil-n8n-eval/contents/documents/Document%209_%20IT%20Usage%20and%20Security%20Policies.txt?ref=main)"/>
    <n v="0"/>
    <n v="0.45238095238095233"/>
    <n v="4"/>
    <n v="4"/>
    <b v="0"/>
    <b v="0"/>
    <b v="1"/>
    <s v="The answer matches all key requirements from the ground truth but adds extra expectations (e.g., hybrid guidelines, company equipment, IT security) not mentioned there."/>
    <x v="5"/>
    <x v="6"/>
    <s v="Fri Jun 26 2026 20:35:53 GMT+0000 (Coordinated Universal Time)"/>
    <s v="Sat Jun 27 2026 21:03:18 GMT+0000 (Coordinated Universal Time)"/>
    <x v="0"/>
  </r>
  <r>
    <s v="What should a new hire expect on their first day?"/>
    <s v="Document 2: Onboarding Process and New Hire Orientation"/>
    <n v="1"/>
    <s v="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
    <s v="On the first day, a new hire should expect:_x000a__x000a_- Arrive at the front desk by 9:00 AM._x000a_- Meet HR for orientation._x000a_- Complete remaining new hire paperwork._x000a_- Receive an ID badge and office tour._x000a_- Get equipment and system login help._x000a_- Review company policies at a high level._x000a_- Learn about benefits enrollment._x000a_- Ask initial questions._x000a_- Meet a buddy or mentor._x000a_- Likely have a welcome lunch.^1_x000a__x000a_Sources:  _x000a_- ^1 [Document 2_ Onboarding Process and New Hire Orientation.txt](https://api.github.com/repos/tobiaszwingmann/lil-n8n-eval/contents/documents/Document%202_%20Onboarding%20Process%20and%20New%20Hire%20Orientation.txt?ref=main)"/>
    <n v="1"/>
    <n v="0.98181818181818181"/>
    <n v="2"/>
    <n v="4"/>
    <b v="0"/>
    <b v="0"/>
    <b v="1"/>
    <s v="The answer matches all required onboarding first-day elements but adds a few extra items (e.g., “Ask initial questions,” “Likely,” and “Meet HR for orientation” wording) beyond the ground truth."/>
    <x v="5"/>
    <x v="7"/>
    <s v="Fri Jun 26 2026 20:35:53 GMT+0000 (Coordinated Universal Time)"/>
    <s v="Sat Jun 27 2026 21:03:30 GMT+0000 (Coordinated Universal Time)"/>
    <x v="0"/>
  </r>
  <r>
    <s v="For a birth mother, how does paid parental leave coordinate with short-term disability?"/>
    <s v="Document 6: Employee Benefits and Perks | Document 7: Leave and Time Off Policies"/>
    <n v="2"/>
    <s v="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
    <s v="For a birth mother, paid parental leave is separate from short-term disability. STD typically covers 6–8 weeks of medical recovery time and runs concurrently. Primary caregivers may receive up to 12 weeks of parental leave, with 6 weeks fully paid. The remaining 6 weeks may be unpaid or covered with accrued vacation.^1_x000a__x000a_Short-term disability pays part of salary when an employee cannot work due to illness or injury, generally up to 13 weeks.^2_x000a__x000a_Sources:  _x000a_- ^1 [Document 7_ Leave and Time Off Policies.txt](https://api.github.com/repos/tobiaszwingmann/lil-n8n-eval/contents/documents/Document%207_%20Leave%20and%20Time%20Off%20Policies.txt?ref=main)  _x000a_- ^2 [Document 6_ Employee Benefits and Perks.txt](https://api.github.com/repos/tobiaszwingmann/lil-n8n-eval/contents/documents/Document%206_%20Employee%20Benefits%20and%20Perks.txt?ref=main)"/>
    <n v="1"/>
    <n v="0.97530864197530864"/>
    <n v="3"/>
    <n v="3"/>
    <b v="0"/>
    <b v="1"/>
    <b v="0"/>
    <s v="The answer matches the reference facts about parental leave and STD but omits the reference’s instruction to coordinate overlap and paperwork with HR."/>
    <x v="5"/>
    <x v="8"/>
    <s v="Fri Jun 26 2026 20:35:53 GMT+0000 (Coordinated Universal Time)"/>
    <s v="Sat Jun 27 2026 21:03:42 GMT+0000 (Coordinated Universal Time)"/>
    <x v="0"/>
  </r>
  <r>
    <s v="If I am out sick longer than my paid sick days, what covers my income?"/>
    <s v="Document 6: Employee Benefits and Perks | Document 7: Leave and Time Off Policies"/>
    <n v="2"/>
    <s v="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
    <s v="If your paid sick days run out, disability insurance may cover income._x000a__x000a_- Short-Term Disability pays part of salary._x000a_- It applies for illness or injury._x000a_- It generally lasts up to 13 weeks._x000a_- Long-Term Disability may continue after that._x000a_- Unpaid leave may also be requested. ^1 ^2_x000a__x000a_Sources:  _x000a_- ^1 [Document 6_ Employee Benefits and Perks.txt](https://api.github.com/repos/tobiaszwingmann/lil-n8n-eval/contents/documents/Document%206_%20Employee%20Benefits%20and%20Perks.txt?ref=main)  _x000a_- ^2 [Document 7_ Leave and Time Off Policies.txt](https://api.github.com/repos/tobiaszwingmann/lil-n8n-eval/contents/documents/Document%207_%20Leave%20and%20Time%20Off%20Policies.txt?ref=main)"/>
    <n v="1"/>
    <n v="0.97530864197530864"/>
    <n v="3"/>
    <n v="3"/>
    <b v="0"/>
    <b v="1"/>
    <b v="0"/>
    <s v="The answer gives an accurate but incomplete summary, omitting the key fact about 10 paid sick days per year and that STD is company-paid to replace a portion of salary for a short period."/>
    <x v="5"/>
    <x v="9"/>
    <s v="Fri Jun 26 2026 20:35:53 GMT+0000 (Coordinated Universal Time)"/>
    <s v="Sat Jun 27 2026 21:03:52 GMT+0000 (Coordinated Universal Time)"/>
    <x v="0"/>
  </r>
  <r>
    <s v="How do the remote-work policy and IT equipment support work together for a home office?"/>
    <s v="Document 3: General Employment Policies | Document 9: IT Usage and Security Policies"/>
    <n v="2"/>
    <s v="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
    <s v="Remote work requires an eligible role, manager discussion, a proper workspace, and reliable internet. Remote employees must stay available online, attend meetings, and meet normal productivity expectations.^1_x000a__x000a_IT support complements this by providing needed equipment, such as laptops, monitors, phones, or other devices. For special home-office needs, like printers or peripherals, employees should contact IT/HR about reimbursement or additional equipment.^2_x000a__x000a_You must use company equipment mainly for business. Keep devices secure, avoid unauthorized software, and report lost, stolen, damaged, or malfunctioning equipment immediately.^1 ^2_x000a__x000a_Sources:  _x000a_- ^1 [Document 3_ General Employment Policies.txt](https://api.github.com/repos/tobiaszwingmann/lil-n8n-eval/contents/documents/Document%203_%20General%20Employment%20Policies.txt?ref=main)  _x000a_- ^2 [Document 9_ IT Usage and Security Policies.txt](https://api.github.com/repos/tobiaszwingmann/lil-n8n-eval/contents/documents/Document%209_%20IT%20Usage%20and%20Security%20Policies.txt?ref=main)"/>
    <n v="1"/>
    <n v="0.97619047619047616"/>
    <n v="3"/>
    <n v="3"/>
    <b v="0"/>
    <b v="1"/>
    <b v="1"/>
    <s v="The output covers remote-work requirements and IT support but omits key points about eligibility being broad (remote or hybrid), the stipend detail, and the specific prohibition of personal laptops, while adding some general compliance guidance not present in the ground truth."/>
    <x v="5"/>
    <x v="10"/>
    <s v="Fri Jun 26 2026 20:35:53 GMT+0000 (Coordinated Universal Time)"/>
    <s v="Sat Jun 27 2026 21:04:06 GMT+0000 (Coordinated Universal Time)"/>
    <x v="0"/>
  </r>
  <r>
    <s v="How are annual performance reviews connected to pay raises and bonuses?"/>
    <s v="Document 5: Compensation, Payroll, and Promotions | Document 8: Performance Reviews and Career Development"/>
    <n v="2"/>
    <s v="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
    <s v="Annual reviews can affect raises and bonuses._x000a__x000a_- Review outcomes may influence merit increases._x000a_- Bonuses depend on company targets._x000a_- Bonuses also depend on personal performance._x000a_- Raises use performance ratings and benchmarks._x000a_- Raise budgets are set yearly._x000a_- Bonuses are not guaranteed. ^1 ^2_x000a__x000a_Sources:  _x000a_- ^1 [Document 8_ Performance Reviews and Career Development.txt](https://api.github.com/repos/tobiaszwingmann/lil-n8n-eval/contents/documents/Document%208_%20Performance%20Reviews%20and%20Career%20Development.txt?ref=main)  _x000a_- ^2 [Document 5_ Compensation, Payroll, and Promotions.txt](https://api.github.com/repos/tobiaszwingmann/lil-n8n-eval/contents/documents/Document%205_%20Compensation,%20Payroll,%20and%20Promotions.txt?ref=main)"/>
    <n v="1"/>
    <n v="0.98113207547169812"/>
    <n v="3"/>
    <n v="3"/>
    <b v="0"/>
    <b v="1"/>
    <b v="0"/>
    <s v="The answer correctly captures that annual reviews/rating drive merit increases and bonuses based on company targets and individual performance, but it omits the mid-year check-in detail, rating emphasis, the annual raise budget distribution by rating and market benchmarks, and the promotions/higher compensation linkage."/>
    <x v="5"/>
    <x v="11"/>
    <s v="Fri Jun 26 2026 20:35:53 GMT+0000 (Coordinated Universal Time)"/>
    <s v="Sat Jun 27 2026 21:04:16 GMT+0000 (Coordinated Universal Time)"/>
    <x v="0"/>
  </r>
  <r>
    <s v="Does ABC Inc offer pet insurance as an employee benefit?"/>
    <s v="NA"/>
    <n v="0"/>
    <s v="This is not addressed anywhere in the handbook."/>
    <s v="No. Pet insurance is not listed as an employee benefit. Listed benefits include health, life, disability, wellness, retirement, PTO, and other perks.^1_x000a__x000a_Sources:  _x000a_- ^1 [Document 6_ Employee Benefits and Perks.txt](https://api.github.com/repos/tobiaszwingmann/lil-n8n-eval/contents/documents/Document%206_%20Employee%20Benefits%20and%20Perks.txt?ref=main)"/>
    <n v="0"/>
    <n v="0"/>
    <n v="2"/>
    <n v="1"/>
    <b v="1"/>
    <b v="0"/>
    <b v="1"/>
    <s v="The answer asserts that pet insurance is not listed and cites sources, but the ground truth says the handbook does not address this anywhere."/>
    <x v="5"/>
    <x v="12"/>
    <s v="Fri Jun 26 2026 20:35:53 GMT+0000 (Coordinated Universal Time)"/>
    <s v="Sat Jun 27 2026 21:04:25 GMT+0000 (Coordinated Universal Time)"/>
    <x v="0"/>
  </r>
  <r>
    <s v="What is the company's sabbatical leave policy?"/>
    <s v="NA"/>
    <n v="0"/>
    <s v="This is not addressed anywhere in the handbook; the leave policy covers vacation, sick, personal, parental, bereavement, jury, military, and unpaid leave only."/>
    <s v="I’m sorry, I can’t answer that. Please contact HR."/>
    <n v="0"/>
    <n v="1"/>
    <n v="3"/>
    <n v="1"/>
    <b v="0"/>
    <b v="1"/>
    <b v="0"/>
    <s v="The response refuses to answer but does not provide the handbook-based leave policy scope stated in the ground truth."/>
    <x v="5"/>
    <x v="13"/>
    <s v="Fri Jun 26 2026 20:35:53 GMT+0000 (Coordinated Universal Time)"/>
    <s v="Sat Jun 27 2026 21:04:34 GMT+0000 (Coordinated Universal Time)"/>
    <x v="0"/>
  </r>
  <r>
    <s v="What is the dress code?"/>
    <s v="Document 3: General Employment Policies"/>
    <n v="1"/>
    <s v="Business casual - e.g., collared shirts, blouses, slacks or neat jeans, and closed-toe shoes. Fridays are casual (jeans and sneakers welcome). Remote staff may dress more casually but should be presentable for video meetings."/>
    <s v="Our dress code is business-casual.^1_x000a__x000a_- Dress professionally and comfortably._x000a_- Collared shirts and blouses are fine._x000a_- Slacks or neat jeans are fine._x000a_- Closed-toe shoes are generally fine._x000a_- Fridays allow jeans and sneakers._x000a_- Remote work may be more casual._x000a_- Be presentable for video meetings._x000a_- Some teams may have specific requirements._x000a__x000a_Sources:  _x000a_- ^1 [Document 3_ General Employment Policies.txt](https://api.github.com/repos/tobiaszwingmann/lil-n8n-eval/contents/documents/Document%203_%20General%20Employment%20Policies.txt?ref=main)"/>
    <n v="1"/>
    <n v="0.97435897435897434"/>
    <n v="4"/>
    <n v="4"/>
    <b v="0"/>
    <b v="0"/>
    <b v="1"/>
    <s v="The answer matches the ground truth dress code details but adds extra non-referenced items like general guidance phrasing, specific team requirements, and “dress professionally and comfortably”/remote-work may be more casual phrased differently."/>
    <x v="5"/>
    <x v="14"/>
    <s v="Fri Jun 26 2026 20:35:53 GMT+0000 (Coordinated Universal Time)"/>
    <s v="Sat Jun 27 2026 21:04:42 GMT+0000 (Coordinated Universal Time)"/>
    <x v="0"/>
  </r>
  <r>
    <s v="What login security is required for remote access and important applications?"/>
    <s v="Document 9: IT Usage and Security Policies"/>
    <n v="1"/>
    <s v="Multi-Factor Authentication (MFA)"/>
    <s v="The document &quot;Document 9_ IT Usage and Security Policies.txt&quot; is most relevant to your question._x000a__x000a_I need to review this document to answer your question. Please allow me a moment._x000a_I’m sorry, I can’t answer that. Please contact HR."/>
    <n v="1"/>
    <n v="0"/>
    <n v="1"/>
    <n v="1"/>
    <b v="0"/>
    <b v="1"/>
    <b v="1"/>
    <s v="The output does not provide the requested ground-truth topic (Multi-Factor Authentication) and instead gives unrelated text about documents and HR."/>
    <x v="6"/>
    <x v="0"/>
    <s v="Fri Jun 26 2026 20:35:53 GMT+0000 (Coordinated Universal Time)"/>
    <s v="Sat Jun 27 2026 22:26:38 GMT+0000 (Coordinated Universal Time)"/>
    <x v="5"/>
  </r>
  <r>
    <s v="What technique should you use to operate a fire extinguisher?"/>
    <s v="Document 10: Workplace Safety and Emergency Procedures"/>
    <n v="1"/>
    <s v="The PASS method: Pull the pin, Aim at the base, Squeeze the trigger, Sweep side to side"/>
    <s v="To operate a fire extinguisher, remember the PASS method: Pull the pin, Aim at the base of the fire, Squeeze the trigger, and Sweep side to side. Only use an extinguisher if you have been trained and the fire is very small._x000a__x000a_Source:_x000a_- ^1 [Document 10_ Workplace Safety and Emergency Procedures.txt](https://raw.githubusercontent.com/tobiaszwingmann/lil-n8n-eval/main/documents/Document%2010_%20Workplace%20Safety%20and%20Emergency%20Procedures.txt?token=AJJHWK7NWKXEZUIFIWIENC3KIBHFXAA)"/>
    <n v="1"/>
    <n v="0"/>
    <n v="4"/>
    <n v="4"/>
    <b v="0"/>
    <b v="0"/>
    <b v="1"/>
    <s v="The answer correctly includes the PASS method steps but adds extra constraints not present in the ground truth."/>
    <x v="6"/>
    <x v="1"/>
    <s v="Fri Jun 26 2026 20:35:53 GMT+0000 (Coordinated Universal Time)"/>
    <s v="Sat Jun 27 2026 22:26:44 GMT+0000 (Coordinated Universal Time)"/>
    <x v="5"/>
  </r>
  <r>
    <s v="Where is the primary emergency assembly point during an evacuation?"/>
    <s v="Document 10: Workplace Safety and Emergency Procedures"/>
    <n v="1"/>
    <s v="The parking lot across the street"/>
    <s v="The primary emergency assembly point is the parking lot across the street."/>
    <n v="1"/>
    <n v="0"/>
    <n v="5"/>
    <n v="4"/>
    <b v="0"/>
    <b v="0"/>
    <b v="1"/>
    <s v="The answer matches the referenced location but adds extra wording not present in the ground truth."/>
    <x v="6"/>
    <x v="2"/>
    <s v="Fri Jun 26 2026 20:35:53 GMT+0000 (Coordinated Universal Time)"/>
    <s v="Sat Jun 27 2026 22:26:48 GMT+0000 (Coordinated Universal Time)"/>
    <x v="5"/>
  </r>
  <r>
    <s v="How often are employees paid?"/>
    <s v="Document 5: Compensation, Payroll, and Promotions"/>
    <n v="1"/>
    <s v="Every two weeks (bi-weekly), typically every other Friday"/>
    <s v="Employees are paid every two weeks. This is referred to as a bi-weekly payroll schedule. Paychecks are typically issued every other Friday."/>
    <n v="1"/>
    <n v="0"/>
    <n v="5"/>
    <n v="5"/>
    <b v="0"/>
    <b v="0"/>
    <b v="0"/>
    <s v="The output matches the ground truth content and does not add or omit anything relevant."/>
    <x v="6"/>
    <x v="3"/>
    <s v="Fri Jun 26 2026 20:35:53 GMT+0000 (Coordinated Universal Time)"/>
    <s v="Sat Jun 27 2026 22:26:55 GMT+0000 (Coordinated Universal Time)"/>
    <x v="5"/>
  </r>
  <r>
    <s v="Explain the process for requesting parental leave."/>
    <s v="Document 7: Leave and Time Off Policies"/>
    <n v="1"/>
    <s v="Inform HR as early as possible (at least 30 days' notice if feasible). Primary caregivers are eligible for up to 12 weeks, with 6 weeks fully paid; the remaining 6 weeks are unpaid or can be covered using accrued vacation. Secondary caregivers get 2 weeks of paid leave. Work with HR on any FMLA paperwork."/>
    <s v="To request parental leave, please inform HR as early as possible, ideally with at least 30 days' notice. This allows for coordination of paperwork and planning for your absence. Primary caregivers are eligible for up to 12 weeks of leave, with the company providing 6 weeks fully paid. Secondary caregivers are eligible for 2 weeks of paid parental leave. This leave can be taken continuously or flexibly within the first year with manager approval. Parental leave complies with FMLA, which provides up to 12 weeks of job-protected leave for eligible employees._x000a__x000a_Sources:_x000a_- ^1 [Document 7_ Leave and Time Off Policies.txt](https://raw.githubusercontent.com/tobiaszwingmann/lil-n8n-eval/main/documents/Document%207_%20Leave%20and%20Time%20Off%20Policies.txt?token=AJJHWK3MKMR6G37LGNHGYB3KIBHGZAA)"/>
    <n v="1"/>
    <n v="0.97435897435897434"/>
    <n v="3"/>
    <n v="3"/>
    <b v="0"/>
    <b v="1"/>
    <b v="1"/>
    <s v="The response is accurate overall but omits key details about the remaining 6 weeks being unpaid/accrued vacation coverage and adds extra specifics (flexible timing within first year, fully job-protected compliance phrasing) beyond the ground truth."/>
    <x v="6"/>
    <x v="4"/>
    <s v="Fri Jun 26 2026 20:35:53 GMT+0000 (Coordinated Universal Time)"/>
    <s v="Sat Jun 27 2026 22:27:03 GMT+0000 (Coordinated Universal Time)"/>
    <x v="5"/>
  </r>
  <r>
    <s v="Walk me through the steps of the annual performance review."/>
    <s v="Document 8: Performance Reviews and Career Development"/>
    <n v="1"/>
    <s v="Goals are set at the start of the year. The annual review (year-end, with a mid-year check-in) includes a self-assessment, a manager evaluation against goals, optional 360-degree feedback, a one-on-one review meeting, and a rating/outcome that can influence merit increases or bonuses."/>
    <s v="The following files are available: _x000a_- .DS_Store_x000a_- Document 10_ Workplace Safety and Emergency Procedures.txt_x000a_-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_x000a_I cannot find information on the steps of the annual performance review process."/>
    <n v="1"/>
    <n v="0"/>
    <n v="1"/>
    <n v="1"/>
    <b v="0"/>
    <b v="1"/>
    <b v="1"/>
    <s v="The answer claims it cannot find the steps, omitting the specified annual review steps and adding unnecessary file-list details."/>
    <x v="6"/>
    <x v="5"/>
    <s v="Fri Jun 26 2026 20:35:53 GMT+0000 (Coordinated Universal Time)"/>
    <s v="Sat Jun 27 2026 22:27:07 GMT+0000 (Coordinated Universal Time)"/>
    <x v="5"/>
  </r>
  <r>
    <s v="Summarize who is eligible to work remotely and what is expected of them."/>
    <s v="Document 3: General Employment Policies"/>
    <n v="1"/>
    <s v="Many roles are eligible for remote or hybrid work; specifics (such as in-office days) are arranged with your manager. You must have a proper workspace and reliable internet, and stay fully engaged during work hours - available online, attending meetings, and meeting the same productivity expectations as in-office staff."/>
    <s v="The following files are available:_x000a__x000a_* Document 10_ Workplace Safety and Emergency Procedures.txt_x000a_*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_x000a_I cannot find information about remote work eligibility or expectations in the available documents. Please contact HR for further assistance."/>
    <n v="1"/>
    <n v="0"/>
    <n v="2"/>
    <n v="1"/>
    <b v="1"/>
    <b v="1"/>
    <b v="0"/>
    <s v="The answer incorrectly claims no remote work information exists, omitting the ground-truth remote/hybrid eligibility and requirements, while not adding unrelated details."/>
    <x v="6"/>
    <x v="6"/>
    <s v="Fri Jun 26 2026 20:35:53 GMT+0000 (Coordinated Universal Time)"/>
    <s v="Sat Jun 27 2026 22:27:13 GMT+0000 (Coordinated Universal Time)"/>
    <x v="5"/>
  </r>
  <r>
    <s v="What should a new hire expect on their first day?"/>
    <s v="Document 2: Onboarding Process and New Hire Orientation"/>
    <n v="1"/>
    <s v="Arrive at the front desk by 9:00 AM for HR orientation. Complete remaining paperwork (tax forms, direct deposit), receive an ID badge and an office tour, get issued equipment and log into systems, get a high-level review of key policies and benefits enrollment, and meet an assigned buddy/mentor who often hosts a welcome lunch."/>
    <s v="On your first day, you can expect to complete new hire paperwork, receive your company ID and equipment, and get a tour. You will also have an introductory meeting with HR, and be assigned a buddy. During your first week, you will have team introductions, training sessions, and discuss your initial goals with your manager._x000a__x000a_Sources:_x000a_- ^1 [Document 2_ Onboarding Process and New Hire Orientation.txt](https://raw.githubusercontent.com/tobiaszwingmann/lil-n8n-eval/main/documents/Document%202_%20Onboarding%20Process%20and%20New%20Hire%20Orientation.txt?token=AJJHWK4CHQWHFYSYYWWCN5DKIBHH3AA)"/>
    <n v="1"/>
    <n v="0.98181818181818181"/>
    <n v="3"/>
    <n v="3"/>
    <b v="0"/>
    <b v="1"/>
    <b v="0"/>
    <s v="The answer omits key specifics from the ground truth such as the 9:00 AM front desk arrival, tax forms/direct deposit, systems login, policy/benefits review, and the welcome lunch detail."/>
    <x v="6"/>
    <x v="7"/>
    <s v="Fri Jun 26 2026 20:35:53 GMT+0000 (Coordinated Universal Time)"/>
    <s v="Sat Jun 27 2026 22:27:20 GMT+0000 (Coordinated Universal Time)"/>
    <x v="5"/>
  </r>
  <r>
    <s v="For a birth mother, how does paid parental leave coordinate with short-term disability?"/>
    <s v="Document 6: Employee Benefits and Perks | Document 7: Leave and Time Off Policies"/>
    <n v="2"/>
    <s v="Primary caregivers get up to 12 weeks of parental leave, 6 of them fully paid. For birth mothers, short-term disability (STD) typically covers 6-8 weeks of medical recovery and runs concurrently with that leave. STD is company-paid and replaces a portion of salary (generally up to 13 weeks). Coordinate the overlap and paperwork with HR."/>
    <s v="For a birth mother, paid parental leave and short-term disability (STD) run concurrently. STD typically covers the 6-8 week medical recovery period following childbirth. The company provides 6 weeks of paid parental leave, which can be taken in addition to STD. The remaining 6 weeks of the 12-week parental leave can be taken as unpaid leave or by using accrued vacation time._x000a__x000a_Sources:_x000a_- ^1 [Document 7_ Leave and Time Off Policies.txt](https://raw.githubusercontent.com/tobiaszwingmann/lil-n8n-eval/main/documents/Document%207_%20Leave%20and%20Time%20Off%20Policies.txt?token=AJJHWK4NRNKYVX2SVM3SC5LKIBHILAA)"/>
    <n v="0"/>
    <n v="0.46913580246913578"/>
    <n v="3"/>
    <n v="3"/>
    <b v="0"/>
    <b v="1"/>
    <b v="0"/>
    <s v="The answer correctly describes the concurrent STD and the 6 paid weeks, but it omits that STD is company-paid replacing salary (up to 13 weeks) and the guidance to coordinate with HR/paperwork."/>
    <x v="6"/>
    <x v="8"/>
    <s v="Fri Jun 26 2026 20:35:53 GMT+0000 (Coordinated Universal Time)"/>
    <s v="Sat Jun 27 2026 22:27:26 GMT+0000 (Coordinated Universal Time)"/>
    <x v="5"/>
  </r>
  <r>
    <s v="If I am out sick longer than my paid sick days, what covers my income?"/>
    <s v="Document 6: Employee Benefits and Perks | Document 7: Leave and Time Off Policies"/>
    <n v="2"/>
    <s v="Full-time employees receive 10 paid sick days per year. If illness keeps you out longer, company-paid Short-Term Disability (STD) replaces a portion of your salary for a short period (generally up to 13 weeks), with Long-Term Disability available beyond that. So sick leave covers the first days and disability insurance covers an extended absence."/>
    <s v="The relevant file is &quot;Document 7_ Leave and Time Off Policies.txt&quot;. This document outlines policies regarding sick leave and other types of leave. It may contain information about income coverage for extended absences. Would you like me to review this document for details on income protection beyond paid sick days?"/>
    <n v="0"/>
    <n v="0"/>
    <n v="3"/>
    <n v="2"/>
    <b v="0"/>
    <b v="1"/>
    <b v="1"/>
    <s v="The answer gives a generic document description and only loosely hints at income coverage, but it omits the specific sick-day amount and disability timeline details from the ground truth while adding unnecessary document-review phrasing."/>
    <x v="6"/>
    <x v="9"/>
    <s v="Fri Jun 26 2026 20:35:53 GMT+0000 (Coordinated Universal Time)"/>
    <s v="Sat Jun 27 2026 22:27:31 GMT+0000 (Coordinated Universal Time)"/>
    <x v="5"/>
  </r>
  <r>
    <s v="How do the remote-work policy and IT equipment support work together for a home office?"/>
    <s v="Document 3: General Employment Policies | Document 9: IT Usage and Security Policies"/>
    <n v="2"/>
    <s v="Many roles are eligible for remote or hybrid work (arranged with your manager), and you must have a proper workspace and reliable internet. The company supports your home office with a stipend or company-provided equipment, and additional peripherals (e.g., a printer) can be arranged through IT/HR under its reimbursement policy. Personal laptops generally are not allowed for work - the company provides required computer equipment."/>
    <s v="The files available are:_x000a_* Document 10_ Workplace Safety and Emergency Procedures.txt_x000a_* Document 1_ Welcome and Company Overview.txt_x000a_* Document 2_ Onboarding Process and New Hire Orientation.txt_x000a_* Document 3_ General Employment Policies.txt_x000a_* Document 4_ Code of Conduct and Ethics.txt_x000a_* Document 5_ Compensation, Payroll, and Promotions.txt_x000a_* Document 6_ Employee Benefits and Perks.txt_x000a_* Document 7_ Leave and Time Off Policies.txt_x000a_* Document 8_ Performance Reviews and Career Development.txt_x000a_* Document 9_ IT Usage and Security Policies.txt_x000a__x000a_The most relevant file for your question is &quot;Document 9_ IT Usage and Security Policies.txt&quot;._x000a__x000a_I cannot answer your question with the available information."/>
    <n v="0"/>
    <n v="0"/>
    <n v="1"/>
    <n v="1"/>
    <b v="0"/>
    <b v="1"/>
    <b v="0"/>
    <s v="The response does not provide any of the ground-truth details about remote/hybrid eligibility, workspace/internet requirements, or IT/HR equipment and reimbursement policies."/>
    <x v="6"/>
    <x v="10"/>
    <s v="Fri Jun 26 2026 20:35:53 GMT+0000 (Coordinated Universal Time)"/>
    <s v="Sat Jun 27 2026 22:27:36 GMT+0000 (Coordinated Universal Time)"/>
    <x v="5"/>
  </r>
  <r>
    <s v="How are annual performance reviews connected to pay raises and bonuses?"/>
    <s v="Document 5: Compensation, Payroll, and Promotions | Document 8: Performance Reviews and Career Development"/>
    <n v="2"/>
    <s v="Performance is reviewed annually (year-end, with a mid-year check-in) and given a rating. Those ratings drive compensation: the company sets an annual raise budget distributed by performance rating and market benchmarks (merit increases), and the performance-based bonus pays out when both company targets and individual goals are met. Strong reviews also support promotions, which come with a higher compensation package."/>
    <s v="I cannot answer this question as the available documents do not contain this information. Please contact HR."/>
    <n v="0"/>
    <n v="0"/>
    <n v="1"/>
    <n v="1"/>
    <b v="0"/>
    <b v="1"/>
    <b v="1"/>
    <s v="The response does not provide the performance review, rating/compensation, bonus, or promotion details stated in the reference and is instead a refusal plus an unrelated HR contact instruction."/>
    <x v="6"/>
    <x v="11"/>
    <s v="Fri Jun 26 2026 20:35:53 GMT+0000 (Coordinated Universal Time)"/>
    <s v="Sat Jun 27 2026 22:27:41 GMT+0000 (Coordinated Universal Time)"/>
    <x v="5"/>
  </r>
  <r>
    <s v="Does ABC Inc offer pet insurance as an employee benefit?"/>
    <s v="NA"/>
    <n v="0"/>
    <s v="This is not addressed anywhere in the handbook."/>
    <s v="I am sorry, I cannot answer that. Please contact HR."/>
    <n v="0"/>
    <n v="1"/>
    <n v="3"/>
    <n v="1"/>
    <b v="0"/>
    <b v="1"/>
    <b v="1"/>
    <s v="The response does not match the ground truth, which states the topic is not addressed in the handbook, and it adds an unrelated HR suggestion."/>
    <x v="6"/>
    <x v="12"/>
    <s v="Fri Jun 26 2026 20:35:53 GMT+0000 (Coordinated Universal Time)"/>
    <s v="Sat Jun 27 2026 22:27:46 GMT+0000 (Coordinated Universal Time)"/>
    <x v="5"/>
  </r>
  <r>
    <s v="What is the company's sabbatical leave policy?"/>
    <s v="NA"/>
    <n v="0"/>
    <s v="This is not addressed anywhere in the handbook; the leave policy covers vacation, sick, personal, parental, bereavement, jury, military, and unpaid leave only."/>
    <s v="The most relevant file is &quot;Document 7_ Leave and Time Off Policies.txt&quot;. What specific information are you looking for about the sabbatical leave policy?"/>
    <n v="0"/>
    <n v="1"/>
    <n v="3"/>
    <n v="3"/>
    <b v="0"/>
    <b v="1"/>
    <b v="0"/>
    <s v="The answer asks for clarification and does not state that sabbatical leave is not addressed and that only certain leave types are covered."/>
    <x v="6"/>
    <x v="13"/>
    <s v="Fri Jun 26 2026 20:35:53 GMT+0000 (Coordinated Universal Time)"/>
    <s v="Sat Jun 27 2026 22:27:51 GMT+0000 (Coordinated Universal Time)"/>
    <x v="5"/>
  </r>
  <r>
    <s v="What is the dress code?"/>
    <s v="Document 3: General Employment Policies"/>
    <n v="1"/>
    <s v="Business casual - e.g., collared shirts, blouses, slacks or neat jeans, and closed-toe shoes. Fridays are casual (jeans and sneakers welcome). Remote staff may dress more casually but should be presentable for video meetings."/>
    <s v="The dress code policy is not available in the HR knowledge library. Please contact HR for more information."/>
    <n v="1"/>
    <n v="0"/>
    <n v="1"/>
    <n v="3"/>
    <b v="0"/>
    <b v="1"/>
    <b v="0"/>
    <s v="The answer fails to provide the specific dress code details from the ground truth and instead claims the policy is unavailable."/>
    <x v="6"/>
    <x v="14"/>
    <s v="Fri Jun 26 2026 20:35:53 GMT+0000 (Coordinated Universal Time)"/>
    <s v="Sat Jun 27 2026 22:27:55 GMT+0000 (Coordinated Universal Time)"/>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09AA904-A4B8-D24F-ACA7-272D2F05AB97}" name="PivotTable2" cacheId="5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rowHeaderCaption="Detected Sources" colHeaderCaption="Expected Source">
  <location ref="A17:E33" firstHeaderRow="0" firstDataRow="1" firstDataCol="1" rowPageCount="1" colPageCount="1"/>
  <pivotFields count="18">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axis="axisRow" showAll="0">
      <items count="16">
        <item x="0"/>
        <item x="1"/>
        <item x="2"/>
        <item x="3"/>
        <item x="4"/>
        <item x="5"/>
        <item x="6"/>
        <item x="7"/>
        <item x="8"/>
        <item x="9"/>
        <item x="10"/>
        <item x="11"/>
        <item x="12"/>
        <item x="13"/>
        <item x="14"/>
        <item t="default"/>
      </items>
    </pivotField>
    <pivotField showAll="0"/>
    <pivotField showAll="0"/>
    <pivotField name="Filter" axis="axisPage" multipleItemSelectionAllowed="1" showAll="0">
      <items count="7">
        <item h="1" x="1"/>
        <item h="1" x="2"/>
        <item h="1" x="3"/>
        <item h="1" x="0"/>
        <item h="1" x="4"/>
        <item x="5"/>
        <item t="default"/>
      </items>
    </pivotField>
  </pivotFields>
  <rowFields count="1">
    <field x="14"/>
  </rowFields>
  <rowItems count="16">
    <i>
      <x/>
    </i>
    <i>
      <x v="1"/>
    </i>
    <i>
      <x v="2"/>
    </i>
    <i>
      <x v="3"/>
    </i>
    <i>
      <x v="4"/>
    </i>
    <i>
      <x v="5"/>
    </i>
    <i>
      <x v="6"/>
    </i>
    <i>
      <x v="7"/>
    </i>
    <i>
      <x v="8"/>
    </i>
    <i>
      <x v="9"/>
    </i>
    <i>
      <x v="10"/>
    </i>
    <i>
      <x v="11"/>
    </i>
    <i>
      <x v="12"/>
    </i>
    <i>
      <x v="13"/>
    </i>
    <i>
      <x v="14"/>
    </i>
    <i t="grand">
      <x/>
    </i>
  </rowItems>
  <colFields count="1">
    <field x="-2"/>
  </colFields>
  <colItems count="4">
    <i>
      <x/>
    </i>
    <i i="1">
      <x v="1"/>
    </i>
    <i i="2">
      <x v="2"/>
    </i>
    <i i="3">
      <x v="3"/>
    </i>
  </colItems>
  <pageFields count="1">
    <pageField fld="17" hier="-1"/>
  </pageFields>
  <dataFields count="4">
    <dataField name="Average of eval_source_count" fld="5" subtotal="average" baseField="0" baseItem="0" numFmtId="9"/>
    <dataField name="Average of eval_source_names" fld="6" subtotal="average" baseField="0" baseItem="0"/>
    <dataField name="Average of eval_simple_correctness" fld="7" subtotal="average" baseField="0" baseItem="0" numFmtId="165"/>
    <dataField name="Average of eval_adv_correctness_score" fld="8" subtotal="average" baseField="0" baseItem="0"/>
  </dataFields>
  <formats count="6">
    <format dxfId="47">
      <pivotArea outline="0" collapsedLevelsAreSubtotals="1" fieldPosition="0"/>
    </format>
    <format dxfId="46">
      <pivotArea outline="0" collapsedLevelsAreSubtotals="1" fieldPosition="0">
        <references count="1">
          <reference field="4294967294" count="1" selected="0">
            <x v="2"/>
          </reference>
        </references>
      </pivotArea>
    </format>
    <format dxfId="45">
      <pivotArea outline="0" collapsedLevelsAreSubtotals="1" fieldPosition="0">
        <references count="1">
          <reference field="4294967294" count="1" selected="0">
            <x v="3"/>
          </reference>
        </references>
      </pivotArea>
    </format>
    <format dxfId="44">
      <pivotArea field="14" grandRow="1" outline="0" collapsedLevelsAreSubtotals="1" axis="axisRow" fieldPosition="0">
        <references count="1">
          <reference field="4294967294" count="1" selected="0">
            <x v="3"/>
          </reference>
        </references>
      </pivotArea>
    </format>
    <format dxfId="43">
      <pivotArea field="14" type="button" dataOnly="0" labelOnly="1" outline="0" axis="axisRow" fieldPosition="0"/>
    </format>
    <format dxfId="42">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82BEFEB-5483-9F4D-BF6F-0B1D0DBC0F5C}" name="PivotTable3" cacheId="5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location ref="A18:E25" firstHeaderRow="0" firstDataRow="1" firstDataCol="1"/>
  <pivotFields count="18">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axis="axisRow" showAll="0">
      <items count="8">
        <item x="0"/>
        <item x="1"/>
        <item x="2"/>
        <item x="3"/>
        <item x="4"/>
        <item x="5"/>
        <item x="6"/>
        <item t="default"/>
      </items>
    </pivotField>
    <pivotField showAll="0"/>
    <pivotField showAll="0"/>
    <pivotField showAll="0"/>
    <pivotField showAll="0"/>
  </pivotFields>
  <rowFields count="1">
    <field x="13"/>
  </rowFields>
  <rowItems count="7">
    <i>
      <x/>
    </i>
    <i>
      <x v="1"/>
    </i>
    <i>
      <x v="2"/>
    </i>
    <i>
      <x v="3"/>
    </i>
    <i>
      <x v="4"/>
    </i>
    <i>
      <x v="5"/>
    </i>
    <i>
      <x v="6"/>
    </i>
  </rowItems>
  <colFields count="1">
    <field x="-2"/>
  </colFields>
  <colItems count="4">
    <i>
      <x/>
    </i>
    <i i="1">
      <x v="1"/>
    </i>
    <i i="2">
      <x v="2"/>
    </i>
    <i i="3">
      <x v="3"/>
    </i>
  </colItems>
  <dataFields count="4">
    <dataField name="Source Count" fld="5" subtotal="average" baseField="0" baseItem="0" numFmtId="9"/>
    <dataField name="Source Name Match" fld="6" subtotal="average" baseField="0" baseItem="0" numFmtId="9"/>
    <dataField name="Simple Correctness" fld="7" subtotal="average" baseField="0" baseItem="0"/>
    <dataField name="Advanced Correctness" fld="8" subtotal="average" baseField="0" baseItem="0"/>
  </dataFields>
  <formats count="9">
    <format dxfId="56">
      <pivotArea outline="0" collapsedLevelsAreSubtotals="1" fieldPosition="0"/>
    </format>
    <format dxfId="55">
      <pivotArea outline="0" collapsedLevelsAreSubtotals="1" fieldPosition="0">
        <references count="1">
          <reference field="4294967294" count="1" selected="0">
            <x v="0"/>
          </reference>
        </references>
      </pivotArea>
    </format>
    <format dxfId="54">
      <pivotArea outline="0" collapsedLevelsAreSubtotals="1" fieldPosition="0">
        <references count="1">
          <reference field="4294967294" count="1" selected="0">
            <x v="1"/>
          </reference>
        </references>
      </pivotArea>
    </format>
    <format dxfId="53">
      <pivotArea field="13" type="button" dataOnly="0" labelOnly="1" outline="0" axis="axisRow" fieldPosition="0"/>
    </format>
    <format dxfId="52">
      <pivotArea dataOnly="0" labelOnly="1" fieldPosition="0">
        <references count="1">
          <reference field="13" count="0"/>
        </references>
      </pivotArea>
    </format>
    <format dxfId="51">
      <pivotArea dataOnly="0" labelOnly="1" grandRow="1" outline="0" fieldPosition="0"/>
    </format>
    <format dxfId="50">
      <pivotArea field="13" type="button" dataOnly="0" labelOnly="1" outline="0" axis="axisRow" fieldPosition="0"/>
    </format>
    <format dxfId="49">
      <pivotArea dataOnly="0" labelOnly="1" fieldPosition="0">
        <references count="1">
          <reference field="13" count="0"/>
        </references>
      </pivotArea>
    </format>
    <format dxfId="48">
      <pivotArea dataOnly="0" labelOnly="1" grandRow="1" outline="0" fieldPosition="0"/>
    </format>
  </format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 chart="1"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al_Data" displayName="Eval_Data" ref="A1:R106">
  <autoFilter ref="A1:R106" xr:uid="{00000000-0009-0000-0100-000001000000}"/>
  <tableColumns count="18">
    <tableColumn id="1" xr3:uid="{00000000-0010-0000-0000-000001000000}" name="question"/>
    <tableColumn id="2" xr3:uid="{00000000-0010-0000-0000-000002000000}" name="expected_sources"/>
    <tableColumn id="3" xr3:uid="{00000000-0010-0000-0000-000003000000}" name="expected_source_count"/>
    <tableColumn id="4" xr3:uid="{00000000-0010-0000-0000-000004000000}" name="expected_answer"/>
    <tableColumn id="5" xr3:uid="{00000000-0010-0000-0000-000005000000}" name="eval_observed_output"/>
    <tableColumn id="6" xr3:uid="{00000000-0010-0000-0000-000006000000}" name="eval_source_count"/>
    <tableColumn id="7" xr3:uid="{00000000-0010-0000-0000-000007000000}" name="eval_source_names"/>
    <tableColumn id="8" xr3:uid="{00000000-0010-0000-0000-000008000000}" name="eval_simple_correctness"/>
    <tableColumn id="9" xr3:uid="{00000000-0010-0000-0000-000009000000}" name="eval_adv_correctness_score"/>
    <tableColumn id="10" xr3:uid="{00000000-0010-0000-0000-00000A000000}" name="eval_adv_correctness_erroneous"/>
    <tableColumn id="11" xr3:uid="{00000000-0010-0000-0000-00000B000000}" name="eval_adv_correctness_missing"/>
    <tableColumn id="12" xr3:uid="{00000000-0010-0000-0000-00000C000000}" name="eval_adv_correctness_unnecessary"/>
    <tableColumn id="13" xr3:uid="{00000000-0010-0000-0000-00000D000000}" name="eval_adv_correctness_reasoning"/>
    <tableColumn id="14" xr3:uid="{00000000-0010-0000-0000-00000E000000}" name="eval_execution_details"/>
    <tableColumn id="15" xr3:uid="{00000000-0010-0000-0000-00000F000000}" name="id"/>
    <tableColumn id="16" xr3:uid="{00000000-0010-0000-0000-000010000000}" name="createdAt"/>
    <tableColumn id="17" xr3:uid="{00000000-0010-0000-0000-000011000000}" name="updatedAt"/>
    <tableColumn id="18" xr3:uid="{00000000-0010-0000-0000-000012000000}" name="Comment"/>
  </tableColumns>
  <tableStyleInfo name="TableStyleLight9"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06"/>
  <sheetViews>
    <sheetView topLeftCell="D63" workbookViewId="0">
      <selection activeCell="G114" sqref="G114"/>
    </sheetView>
  </sheetViews>
  <sheetFormatPr baseColWidth="10" defaultRowHeight="16" x14ac:dyDescent="0.2"/>
  <cols>
    <col min="1" max="1" width="36" customWidth="1"/>
    <col min="2" max="2" width="28" customWidth="1"/>
    <col min="3" max="3" width="22.6640625" customWidth="1"/>
    <col min="4" max="5" width="42" customWidth="1"/>
    <col min="6" max="6" width="18.6640625" customWidth="1"/>
    <col min="7" max="7" width="19.6640625" customWidth="1"/>
    <col min="8" max="8" width="23.6640625" customWidth="1"/>
    <col min="9" max="9" width="26.33203125" customWidth="1"/>
    <col min="10" max="10" width="30.1640625" customWidth="1"/>
    <col min="11" max="11" width="28.33203125" customWidth="1"/>
    <col min="12" max="12" width="32" customWidth="1"/>
    <col min="13" max="13" width="30" customWidth="1"/>
    <col min="14" max="14" width="18" customWidth="1"/>
    <col min="16" max="16" width="11.5" customWidth="1"/>
    <col min="17" max="17" width="12" customWidth="1"/>
    <col min="18" max="18" width="20" customWidth="1"/>
  </cols>
  <sheetData>
    <row r="1" spans="1:18" ht="34" x14ac:dyDescent="0.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row>
    <row r="2" spans="1:18" x14ac:dyDescent="0.2">
      <c r="A2" t="s">
        <v>18</v>
      </c>
      <c r="B2" t="s">
        <v>19</v>
      </c>
      <c r="C2">
        <v>1</v>
      </c>
      <c r="D2" t="s">
        <v>20</v>
      </c>
      <c r="E2" t="s">
        <v>21</v>
      </c>
      <c r="F2">
        <v>1</v>
      </c>
      <c r="G2">
        <v>0.97619047619047616</v>
      </c>
      <c r="H2">
        <v>4</v>
      </c>
      <c r="I2">
        <v>2</v>
      </c>
      <c r="J2" t="b">
        <v>0</v>
      </c>
      <c r="K2" t="b">
        <v>1</v>
      </c>
      <c r="L2" t="b">
        <v>1</v>
      </c>
      <c r="M2" t="s">
        <v>22</v>
      </c>
      <c r="N2" t="s">
        <v>23</v>
      </c>
      <c r="O2">
        <v>8</v>
      </c>
      <c r="P2" t="s">
        <v>24</v>
      </c>
      <c r="Q2" t="s">
        <v>25</v>
      </c>
      <c r="R2" t="s">
        <v>26</v>
      </c>
    </row>
    <row r="3" spans="1:18" x14ac:dyDescent="0.2">
      <c r="A3" t="s">
        <v>27</v>
      </c>
      <c r="B3" t="s">
        <v>28</v>
      </c>
      <c r="C3">
        <v>1</v>
      </c>
      <c r="D3" t="s">
        <v>29</v>
      </c>
      <c r="E3" t="s">
        <v>30</v>
      </c>
      <c r="F3">
        <v>1</v>
      </c>
      <c r="G3">
        <v>0.98148148148148151</v>
      </c>
      <c r="H3">
        <v>4</v>
      </c>
      <c r="I3">
        <v>4</v>
      </c>
      <c r="J3" t="b">
        <v>0</v>
      </c>
      <c r="K3" t="b">
        <v>0</v>
      </c>
      <c r="L3" t="b">
        <v>1</v>
      </c>
      <c r="M3" t="s">
        <v>31</v>
      </c>
      <c r="N3" t="s">
        <v>23</v>
      </c>
      <c r="O3">
        <v>9</v>
      </c>
      <c r="P3" t="s">
        <v>24</v>
      </c>
      <c r="Q3" t="s">
        <v>32</v>
      </c>
      <c r="R3" t="s">
        <v>26</v>
      </c>
    </row>
    <row r="4" spans="1:18" x14ac:dyDescent="0.2">
      <c r="A4" t="s">
        <v>33</v>
      </c>
      <c r="B4" t="s">
        <v>28</v>
      </c>
      <c r="C4">
        <v>1</v>
      </c>
      <c r="D4" t="s">
        <v>34</v>
      </c>
      <c r="E4" t="s">
        <v>35</v>
      </c>
      <c r="F4">
        <v>1</v>
      </c>
      <c r="G4">
        <v>0.98148148148148151</v>
      </c>
      <c r="H4">
        <v>4</v>
      </c>
      <c r="I4">
        <v>4</v>
      </c>
      <c r="J4" t="b">
        <v>0</v>
      </c>
      <c r="K4" t="b">
        <v>0</v>
      </c>
      <c r="L4" t="b">
        <v>1</v>
      </c>
      <c r="M4" t="s">
        <v>36</v>
      </c>
      <c r="N4" t="s">
        <v>23</v>
      </c>
      <c r="O4">
        <v>11</v>
      </c>
      <c r="P4" t="s">
        <v>24</v>
      </c>
      <c r="Q4" t="s">
        <v>37</v>
      </c>
      <c r="R4" t="s">
        <v>26</v>
      </c>
    </row>
    <row r="5" spans="1:18" x14ac:dyDescent="0.2">
      <c r="A5" t="s">
        <v>38</v>
      </c>
      <c r="B5" t="s">
        <v>39</v>
      </c>
      <c r="C5">
        <v>1</v>
      </c>
      <c r="D5" t="s">
        <v>40</v>
      </c>
      <c r="E5" t="s">
        <v>41</v>
      </c>
      <c r="F5">
        <v>1</v>
      </c>
      <c r="G5">
        <v>0.97959183673469385</v>
      </c>
      <c r="H5">
        <v>5</v>
      </c>
      <c r="I5">
        <v>5</v>
      </c>
      <c r="J5" t="b">
        <v>0</v>
      </c>
      <c r="K5" t="b">
        <v>0</v>
      </c>
      <c r="L5" t="b">
        <v>0</v>
      </c>
      <c r="M5" t="s">
        <v>42</v>
      </c>
      <c r="N5" t="s">
        <v>23</v>
      </c>
      <c r="O5">
        <v>12</v>
      </c>
      <c r="P5" t="s">
        <v>24</v>
      </c>
      <c r="Q5" t="s">
        <v>43</v>
      </c>
      <c r="R5" t="s">
        <v>26</v>
      </c>
    </row>
    <row r="6" spans="1:18" x14ac:dyDescent="0.2">
      <c r="A6" t="s">
        <v>44</v>
      </c>
      <c r="B6" t="s">
        <v>45</v>
      </c>
      <c r="C6">
        <v>1</v>
      </c>
      <c r="D6" t="s">
        <v>46</v>
      </c>
      <c r="E6" t="s">
        <v>47</v>
      </c>
      <c r="F6">
        <v>1</v>
      </c>
      <c r="G6">
        <v>0.97435897435897434</v>
      </c>
      <c r="H6">
        <v>2</v>
      </c>
      <c r="I6">
        <v>3</v>
      </c>
      <c r="J6" t="b">
        <v>0</v>
      </c>
      <c r="K6" t="b">
        <v>1</v>
      </c>
      <c r="L6" t="b">
        <v>0</v>
      </c>
      <c r="M6" t="s">
        <v>48</v>
      </c>
      <c r="N6" t="s">
        <v>23</v>
      </c>
      <c r="O6">
        <v>13</v>
      </c>
      <c r="P6" t="s">
        <v>24</v>
      </c>
      <c r="Q6" t="s">
        <v>49</v>
      </c>
      <c r="R6" t="s">
        <v>26</v>
      </c>
    </row>
    <row r="7" spans="1:18" x14ac:dyDescent="0.2">
      <c r="A7" t="s">
        <v>50</v>
      </c>
      <c r="B7" t="s">
        <v>51</v>
      </c>
      <c r="C7">
        <v>1</v>
      </c>
      <c r="D7" t="s">
        <v>52</v>
      </c>
      <c r="E7" t="s">
        <v>53</v>
      </c>
      <c r="F7">
        <v>1</v>
      </c>
      <c r="G7">
        <v>0.98148148148148151</v>
      </c>
      <c r="H7">
        <v>3</v>
      </c>
      <c r="I7">
        <v>3</v>
      </c>
      <c r="J7" t="b">
        <v>0</v>
      </c>
      <c r="K7" t="b">
        <v>1</v>
      </c>
      <c r="L7" t="b">
        <v>1</v>
      </c>
      <c r="M7" t="s">
        <v>54</v>
      </c>
      <c r="N7" t="s">
        <v>23</v>
      </c>
      <c r="O7">
        <v>14</v>
      </c>
      <c r="P7" t="s">
        <v>24</v>
      </c>
      <c r="Q7" t="s">
        <v>55</v>
      </c>
      <c r="R7" t="s">
        <v>26</v>
      </c>
    </row>
    <row r="8" spans="1:18" x14ac:dyDescent="0.2">
      <c r="A8" t="s">
        <v>56</v>
      </c>
      <c r="B8" t="s">
        <v>57</v>
      </c>
      <c r="C8">
        <v>1</v>
      </c>
      <c r="D8" t="s">
        <v>58</v>
      </c>
      <c r="E8" t="s">
        <v>59</v>
      </c>
      <c r="F8">
        <v>0</v>
      </c>
      <c r="G8">
        <v>0.45238095238095233</v>
      </c>
      <c r="H8">
        <v>4</v>
      </c>
      <c r="I8">
        <v>4</v>
      </c>
      <c r="J8" t="b">
        <v>0</v>
      </c>
      <c r="K8" t="b">
        <v>0</v>
      </c>
      <c r="L8" t="b">
        <v>1</v>
      </c>
      <c r="M8" t="s">
        <v>60</v>
      </c>
      <c r="N8" t="s">
        <v>23</v>
      </c>
      <c r="O8">
        <v>15</v>
      </c>
      <c r="P8" t="s">
        <v>24</v>
      </c>
      <c r="Q8" t="s">
        <v>61</v>
      </c>
      <c r="R8" t="s">
        <v>26</v>
      </c>
    </row>
    <row r="9" spans="1:18" x14ac:dyDescent="0.2">
      <c r="A9" t="s">
        <v>62</v>
      </c>
      <c r="B9" t="s">
        <v>63</v>
      </c>
      <c r="C9">
        <v>1</v>
      </c>
      <c r="D9" t="s">
        <v>64</v>
      </c>
      <c r="E9" t="s">
        <v>65</v>
      </c>
      <c r="F9">
        <v>1</v>
      </c>
      <c r="G9">
        <v>0.98181818181818181</v>
      </c>
      <c r="H9">
        <v>4</v>
      </c>
      <c r="I9">
        <v>5</v>
      </c>
      <c r="J9" t="b">
        <v>0</v>
      </c>
      <c r="K9" t="b">
        <v>0</v>
      </c>
      <c r="L9" t="b">
        <v>0</v>
      </c>
      <c r="M9" t="s">
        <v>66</v>
      </c>
      <c r="N9" t="s">
        <v>23</v>
      </c>
      <c r="O9">
        <v>16</v>
      </c>
      <c r="P9" t="s">
        <v>24</v>
      </c>
      <c r="Q9" t="s">
        <v>67</v>
      </c>
      <c r="R9" t="s">
        <v>26</v>
      </c>
    </row>
    <row r="10" spans="1:18" x14ac:dyDescent="0.2">
      <c r="A10" t="s">
        <v>68</v>
      </c>
      <c r="B10" t="s">
        <v>69</v>
      </c>
      <c r="C10">
        <v>2</v>
      </c>
      <c r="D10" t="s">
        <v>70</v>
      </c>
      <c r="E10" t="s">
        <v>71</v>
      </c>
      <c r="F10">
        <v>1</v>
      </c>
      <c r="G10">
        <v>0.97530864197530864</v>
      </c>
      <c r="H10">
        <v>3</v>
      </c>
      <c r="I10">
        <v>3</v>
      </c>
      <c r="J10" t="b">
        <v>0</v>
      </c>
      <c r="K10" t="b">
        <v>1</v>
      </c>
      <c r="L10" t="b">
        <v>1</v>
      </c>
      <c r="M10" t="s">
        <v>72</v>
      </c>
      <c r="N10" t="s">
        <v>23</v>
      </c>
      <c r="O10">
        <v>17</v>
      </c>
      <c r="P10" t="s">
        <v>24</v>
      </c>
      <c r="Q10" t="s">
        <v>73</v>
      </c>
      <c r="R10" t="s">
        <v>26</v>
      </c>
    </row>
    <row r="11" spans="1:18" x14ac:dyDescent="0.2">
      <c r="A11" t="s">
        <v>74</v>
      </c>
      <c r="B11" t="s">
        <v>69</v>
      </c>
      <c r="C11">
        <v>2</v>
      </c>
      <c r="D11" t="s">
        <v>75</v>
      </c>
      <c r="E11" t="s">
        <v>76</v>
      </c>
      <c r="F11">
        <v>1</v>
      </c>
      <c r="G11">
        <v>0.97530864197530864</v>
      </c>
      <c r="H11">
        <v>3</v>
      </c>
      <c r="I11">
        <v>3</v>
      </c>
      <c r="J11" t="b">
        <v>0</v>
      </c>
      <c r="K11" t="b">
        <v>1</v>
      </c>
      <c r="L11" t="b">
        <v>1</v>
      </c>
      <c r="M11" t="s">
        <v>77</v>
      </c>
      <c r="N11" t="s">
        <v>23</v>
      </c>
      <c r="O11">
        <v>18</v>
      </c>
      <c r="P11" t="s">
        <v>24</v>
      </c>
      <c r="Q11" t="s">
        <v>78</v>
      </c>
      <c r="R11" t="s">
        <v>26</v>
      </c>
    </row>
    <row r="12" spans="1:18" x14ac:dyDescent="0.2">
      <c r="A12" t="s">
        <v>79</v>
      </c>
      <c r="B12" t="s">
        <v>80</v>
      </c>
      <c r="C12">
        <v>2</v>
      </c>
      <c r="D12" t="s">
        <v>81</v>
      </c>
      <c r="E12" t="s">
        <v>82</v>
      </c>
      <c r="F12">
        <v>0</v>
      </c>
      <c r="G12">
        <v>0.65079365079365081</v>
      </c>
      <c r="H12">
        <v>3</v>
      </c>
      <c r="I12">
        <v>3</v>
      </c>
      <c r="J12" t="b">
        <v>0</v>
      </c>
      <c r="K12" t="b">
        <v>1</v>
      </c>
      <c r="L12" t="b">
        <v>1</v>
      </c>
      <c r="M12" t="s">
        <v>83</v>
      </c>
      <c r="N12" t="s">
        <v>23</v>
      </c>
      <c r="O12">
        <v>19</v>
      </c>
      <c r="P12" t="s">
        <v>24</v>
      </c>
      <c r="Q12" t="s">
        <v>84</v>
      </c>
      <c r="R12" t="s">
        <v>26</v>
      </c>
    </row>
    <row r="13" spans="1:18" x14ac:dyDescent="0.2">
      <c r="A13" t="s">
        <v>85</v>
      </c>
      <c r="B13" t="s">
        <v>86</v>
      </c>
      <c r="C13">
        <v>2</v>
      </c>
      <c r="D13" t="s">
        <v>87</v>
      </c>
      <c r="E13" t="s">
        <v>88</v>
      </c>
      <c r="F13">
        <v>1</v>
      </c>
      <c r="G13">
        <v>0.98113207547169812</v>
      </c>
      <c r="H13">
        <v>2</v>
      </c>
      <c r="I13">
        <v>3</v>
      </c>
      <c r="J13" t="b">
        <v>0</v>
      </c>
      <c r="K13" t="b">
        <v>1</v>
      </c>
      <c r="L13" t="b">
        <v>1</v>
      </c>
      <c r="M13" t="s">
        <v>89</v>
      </c>
      <c r="N13" t="s">
        <v>23</v>
      </c>
      <c r="O13">
        <v>20</v>
      </c>
      <c r="P13" t="s">
        <v>24</v>
      </c>
      <c r="Q13" t="s">
        <v>90</v>
      </c>
      <c r="R13" t="s">
        <v>26</v>
      </c>
    </row>
    <row r="14" spans="1:18" x14ac:dyDescent="0.2">
      <c r="A14" t="s">
        <v>91</v>
      </c>
      <c r="B14" t="s">
        <v>92</v>
      </c>
      <c r="C14">
        <v>0</v>
      </c>
      <c r="D14" t="s">
        <v>93</v>
      </c>
      <c r="E14" t="s">
        <v>94</v>
      </c>
      <c r="F14">
        <v>0</v>
      </c>
      <c r="G14">
        <v>0</v>
      </c>
      <c r="H14">
        <v>2</v>
      </c>
      <c r="I14">
        <v>3</v>
      </c>
      <c r="J14" t="b">
        <v>0</v>
      </c>
      <c r="K14" t="b">
        <v>1</v>
      </c>
      <c r="L14" t="b">
        <v>0</v>
      </c>
      <c r="M14" t="s">
        <v>95</v>
      </c>
      <c r="N14" t="s">
        <v>23</v>
      </c>
      <c r="O14">
        <v>21</v>
      </c>
      <c r="P14" t="s">
        <v>24</v>
      </c>
      <c r="Q14" t="s">
        <v>96</v>
      </c>
      <c r="R14" t="s">
        <v>26</v>
      </c>
    </row>
    <row r="15" spans="1:18" x14ac:dyDescent="0.2">
      <c r="A15" t="s">
        <v>97</v>
      </c>
      <c r="B15" t="s">
        <v>92</v>
      </c>
      <c r="C15">
        <v>0</v>
      </c>
      <c r="D15" t="s">
        <v>98</v>
      </c>
      <c r="E15" t="s">
        <v>99</v>
      </c>
      <c r="F15">
        <v>0</v>
      </c>
      <c r="G15">
        <v>1</v>
      </c>
      <c r="H15">
        <v>3</v>
      </c>
      <c r="I15">
        <v>1</v>
      </c>
      <c r="J15" t="b">
        <v>0</v>
      </c>
      <c r="K15" t="b">
        <v>1</v>
      </c>
      <c r="L15" t="b">
        <v>0</v>
      </c>
      <c r="M15" t="s">
        <v>100</v>
      </c>
      <c r="N15" t="s">
        <v>23</v>
      </c>
      <c r="O15">
        <v>22</v>
      </c>
      <c r="P15" t="s">
        <v>24</v>
      </c>
      <c r="Q15" t="s">
        <v>101</v>
      </c>
      <c r="R15" t="s">
        <v>26</v>
      </c>
    </row>
    <row r="16" spans="1:18" x14ac:dyDescent="0.2">
      <c r="A16" t="s">
        <v>102</v>
      </c>
      <c r="B16" t="s">
        <v>57</v>
      </c>
      <c r="C16">
        <v>1</v>
      </c>
      <c r="D16" t="s">
        <v>103</v>
      </c>
      <c r="E16" t="s">
        <v>104</v>
      </c>
      <c r="F16">
        <v>1</v>
      </c>
      <c r="G16">
        <v>0.97435897435897434</v>
      </c>
      <c r="H16">
        <v>4</v>
      </c>
      <c r="I16">
        <v>4</v>
      </c>
      <c r="J16" t="b">
        <v>0</v>
      </c>
      <c r="K16" t="b">
        <v>0</v>
      </c>
      <c r="L16" t="b">
        <v>1</v>
      </c>
      <c r="M16" t="s">
        <v>105</v>
      </c>
      <c r="N16" t="s">
        <v>23</v>
      </c>
      <c r="O16">
        <v>23</v>
      </c>
      <c r="P16" t="s">
        <v>24</v>
      </c>
      <c r="Q16" t="s">
        <v>106</v>
      </c>
      <c r="R16" t="s">
        <v>26</v>
      </c>
    </row>
    <row r="17" spans="1:18" x14ac:dyDescent="0.2">
      <c r="A17" t="s">
        <v>18</v>
      </c>
      <c r="B17" t="s">
        <v>19</v>
      </c>
      <c r="C17">
        <v>1</v>
      </c>
      <c r="D17" t="s">
        <v>20</v>
      </c>
      <c r="E17" t="s">
        <v>107</v>
      </c>
      <c r="F17">
        <v>1</v>
      </c>
      <c r="G17">
        <v>0</v>
      </c>
      <c r="H17">
        <v>1</v>
      </c>
      <c r="I17">
        <v>1</v>
      </c>
      <c r="J17" t="b">
        <v>0</v>
      </c>
      <c r="K17" t="b">
        <v>1</v>
      </c>
      <c r="L17" t="b">
        <v>1</v>
      </c>
      <c r="M17" t="s">
        <v>108</v>
      </c>
      <c r="N17" t="s">
        <v>109</v>
      </c>
      <c r="O17">
        <v>8</v>
      </c>
      <c r="P17" t="s">
        <v>110</v>
      </c>
      <c r="Q17" t="s">
        <v>111</v>
      </c>
      <c r="R17" t="s">
        <v>112</v>
      </c>
    </row>
    <row r="18" spans="1:18" x14ac:dyDescent="0.2">
      <c r="A18" t="s">
        <v>27</v>
      </c>
      <c r="B18" t="s">
        <v>28</v>
      </c>
      <c r="C18">
        <v>1</v>
      </c>
      <c r="D18" t="s">
        <v>29</v>
      </c>
      <c r="E18" t="s">
        <v>113</v>
      </c>
      <c r="F18">
        <v>1</v>
      </c>
      <c r="G18">
        <v>0.98148148148148151</v>
      </c>
      <c r="H18">
        <v>4</v>
      </c>
      <c r="I18">
        <v>4</v>
      </c>
      <c r="J18" t="b">
        <v>0</v>
      </c>
      <c r="K18" t="b">
        <v>0</v>
      </c>
      <c r="L18" t="b">
        <v>1</v>
      </c>
      <c r="M18" t="s">
        <v>114</v>
      </c>
      <c r="N18" t="s">
        <v>109</v>
      </c>
      <c r="O18">
        <v>9</v>
      </c>
      <c r="P18" t="s">
        <v>110</v>
      </c>
      <c r="Q18" t="s">
        <v>115</v>
      </c>
      <c r="R18" t="s">
        <v>112</v>
      </c>
    </row>
    <row r="19" spans="1:18" x14ac:dyDescent="0.2">
      <c r="A19" t="s">
        <v>33</v>
      </c>
      <c r="B19" t="s">
        <v>28</v>
      </c>
      <c r="C19">
        <v>1</v>
      </c>
      <c r="D19" t="s">
        <v>34</v>
      </c>
      <c r="E19" t="s">
        <v>116</v>
      </c>
      <c r="F19">
        <v>1</v>
      </c>
      <c r="G19">
        <v>0</v>
      </c>
      <c r="H19">
        <v>1</v>
      </c>
      <c r="I19">
        <v>1</v>
      </c>
      <c r="J19" t="b">
        <v>0</v>
      </c>
      <c r="K19" t="b">
        <v>1</v>
      </c>
      <c r="L19" t="b">
        <v>1</v>
      </c>
      <c r="M19" t="s">
        <v>117</v>
      </c>
      <c r="N19" t="s">
        <v>109</v>
      </c>
      <c r="O19">
        <v>11</v>
      </c>
      <c r="P19" t="s">
        <v>110</v>
      </c>
      <c r="Q19" t="s">
        <v>118</v>
      </c>
      <c r="R19" t="s">
        <v>112</v>
      </c>
    </row>
    <row r="20" spans="1:18" x14ac:dyDescent="0.2">
      <c r="A20" t="s">
        <v>38</v>
      </c>
      <c r="B20" t="s">
        <v>39</v>
      </c>
      <c r="C20">
        <v>1</v>
      </c>
      <c r="D20" t="s">
        <v>40</v>
      </c>
      <c r="E20" t="s">
        <v>119</v>
      </c>
      <c r="F20">
        <v>1</v>
      </c>
      <c r="G20">
        <v>0.97959183673469385</v>
      </c>
      <c r="H20">
        <v>5</v>
      </c>
      <c r="I20">
        <v>4</v>
      </c>
      <c r="J20" t="b">
        <v>0</v>
      </c>
      <c r="K20" t="b">
        <v>0</v>
      </c>
      <c r="L20" t="b">
        <v>1</v>
      </c>
      <c r="M20" t="s">
        <v>120</v>
      </c>
      <c r="N20" t="s">
        <v>109</v>
      </c>
      <c r="O20">
        <v>12</v>
      </c>
      <c r="P20" t="s">
        <v>110</v>
      </c>
      <c r="Q20" t="s">
        <v>121</v>
      </c>
      <c r="R20" t="s">
        <v>112</v>
      </c>
    </row>
    <row r="21" spans="1:18" x14ac:dyDescent="0.2">
      <c r="A21" t="s">
        <v>44</v>
      </c>
      <c r="B21" t="s">
        <v>45</v>
      </c>
      <c r="C21">
        <v>1</v>
      </c>
      <c r="D21" t="s">
        <v>46</v>
      </c>
      <c r="E21" t="s">
        <v>122</v>
      </c>
      <c r="F21">
        <v>1</v>
      </c>
      <c r="G21">
        <v>0.97435897435897434</v>
      </c>
      <c r="H21">
        <v>3</v>
      </c>
      <c r="I21">
        <v>3</v>
      </c>
      <c r="J21" t="b">
        <v>0</v>
      </c>
      <c r="K21" t="b">
        <v>1</v>
      </c>
      <c r="L21" t="b">
        <v>1</v>
      </c>
      <c r="M21" t="s">
        <v>123</v>
      </c>
      <c r="N21" t="s">
        <v>109</v>
      </c>
      <c r="O21">
        <v>13</v>
      </c>
      <c r="P21" t="s">
        <v>110</v>
      </c>
      <c r="Q21" t="s">
        <v>124</v>
      </c>
      <c r="R21" t="s">
        <v>112</v>
      </c>
    </row>
    <row r="22" spans="1:18" x14ac:dyDescent="0.2">
      <c r="A22" t="s">
        <v>50</v>
      </c>
      <c r="B22" t="s">
        <v>51</v>
      </c>
      <c r="C22">
        <v>1</v>
      </c>
      <c r="D22" t="s">
        <v>52</v>
      </c>
      <c r="E22" t="s">
        <v>125</v>
      </c>
      <c r="F22">
        <v>1</v>
      </c>
      <c r="G22">
        <v>0.98148148148148151</v>
      </c>
      <c r="H22">
        <v>3</v>
      </c>
      <c r="I22">
        <v>5</v>
      </c>
      <c r="J22" t="b">
        <v>0</v>
      </c>
      <c r="K22" t="b">
        <v>0</v>
      </c>
      <c r="L22" t="b">
        <v>0</v>
      </c>
      <c r="M22" t="s">
        <v>126</v>
      </c>
      <c r="N22" t="s">
        <v>109</v>
      </c>
      <c r="O22">
        <v>14</v>
      </c>
      <c r="P22" t="s">
        <v>110</v>
      </c>
      <c r="Q22" t="s">
        <v>127</v>
      </c>
      <c r="R22" t="s">
        <v>112</v>
      </c>
    </row>
    <row r="23" spans="1:18" x14ac:dyDescent="0.2">
      <c r="A23" t="s">
        <v>56</v>
      </c>
      <c r="B23" t="s">
        <v>57</v>
      </c>
      <c r="C23">
        <v>1</v>
      </c>
      <c r="D23" t="s">
        <v>58</v>
      </c>
      <c r="E23" t="s">
        <v>128</v>
      </c>
      <c r="F23">
        <v>1</v>
      </c>
      <c r="G23">
        <v>0</v>
      </c>
      <c r="H23">
        <v>4</v>
      </c>
      <c r="I23">
        <v>4</v>
      </c>
      <c r="J23" t="b">
        <v>0</v>
      </c>
      <c r="K23" t="b">
        <v>0</v>
      </c>
      <c r="L23" t="b">
        <v>1</v>
      </c>
      <c r="M23" t="s">
        <v>129</v>
      </c>
      <c r="N23" t="s">
        <v>109</v>
      </c>
      <c r="O23">
        <v>15</v>
      </c>
      <c r="P23" t="s">
        <v>110</v>
      </c>
      <c r="Q23" t="s">
        <v>130</v>
      </c>
      <c r="R23" t="s">
        <v>112</v>
      </c>
    </row>
    <row r="24" spans="1:18" x14ac:dyDescent="0.2">
      <c r="A24" t="s">
        <v>62</v>
      </c>
      <c r="B24" t="s">
        <v>63</v>
      </c>
      <c r="C24">
        <v>1</v>
      </c>
      <c r="D24" t="s">
        <v>64</v>
      </c>
      <c r="E24" t="s">
        <v>131</v>
      </c>
      <c r="F24">
        <v>1</v>
      </c>
      <c r="G24">
        <v>1.8181818181818188E-2</v>
      </c>
      <c r="H24">
        <v>1</v>
      </c>
      <c r="I24">
        <v>1</v>
      </c>
      <c r="J24" t="b">
        <v>0</v>
      </c>
      <c r="K24" t="b">
        <v>1</v>
      </c>
      <c r="L24" t="b">
        <v>1</v>
      </c>
      <c r="M24" t="s">
        <v>132</v>
      </c>
      <c r="N24" t="s">
        <v>109</v>
      </c>
      <c r="O24">
        <v>16</v>
      </c>
      <c r="P24" t="s">
        <v>110</v>
      </c>
      <c r="Q24" t="s">
        <v>133</v>
      </c>
      <c r="R24" t="s">
        <v>112</v>
      </c>
    </row>
    <row r="25" spans="1:18" x14ac:dyDescent="0.2">
      <c r="A25" t="s">
        <v>68</v>
      </c>
      <c r="B25" t="s">
        <v>69</v>
      </c>
      <c r="C25">
        <v>2</v>
      </c>
      <c r="D25" t="s">
        <v>70</v>
      </c>
      <c r="E25" t="s">
        <v>134</v>
      </c>
      <c r="F25">
        <v>1</v>
      </c>
      <c r="G25">
        <v>0.97530864197530864</v>
      </c>
      <c r="H25">
        <v>3</v>
      </c>
      <c r="I25">
        <v>3</v>
      </c>
      <c r="J25" t="b">
        <v>0</v>
      </c>
      <c r="K25" t="b">
        <v>1</v>
      </c>
      <c r="L25" t="b">
        <v>1</v>
      </c>
      <c r="M25" t="s">
        <v>135</v>
      </c>
      <c r="N25" t="s">
        <v>109</v>
      </c>
      <c r="O25">
        <v>17</v>
      </c>
      <c r="P25" t="s">
        <v>110</v>
      </c>
      <c r="Q25" t="s">
        <v>136</v>
      </c>
      <c r="R25" t="s">
        <v>112</v>
      </c>
    </row>
    <row r="26" spans="1:18" x14ac:dyDescent="0.2">
      <c r="A26" t="s">
        <v>74</v>
      </c>
      <c r="B26" t="s">
        <v>69</v>
      </c>
      <c r="C26">
        <v>2</v>
      </c>
      <c r="D26" t="s">
        <v>75</v>
      </c>
      <c r="E26" t="s">
        <v>137</v>
      </c>
      <c r="F26">
        <v>1</v>
      </c>
      <c r="G26">
        <v>0.97530864197530864</v>
      </c>
      <c r="H26">
        <v>4</v>
      </c>
      <c r="I26">
        <v>5</v>
      </c>
      <c r="J26" t="b">
        <v>0</v>
      </c>
      <c r="K26" t="b">
        <v>0</v>
      </c>
      <c r="L26" t="b">
        <v>0</v>
      </c>
      <c r="M26" t="s">
        <v>138</v>
      </c>
      <c r="N26" t="s">
        <v>109</v>
      </c>
      <c r="O26">
        <v>18</v>
      </c>
      <c r="P26" t="s">
        <v>110</v>
      </c>
      <c r="Q26" t="s">
        <v>139</v>
      </c>
      <c r="R26" t="s">
        <v>112</v>
      </c>
    </row>
    <row r="27" spans="1:18" x14ac:dyDescent="0.2">
      <c r="A27" t="s">
        <v>79</v>
      </c>
      <c r="B27" t="s">
        <v>80</v>
      </c>
      <c r="C27">
        <v>2</v>
      </c>
      <c r="D27" t="s">
        <v>81</v>
      </c>
      <c r="E27" t="s">
        <v>140</v>
      </c>
      <c r="F27">
        <v>1</v>
      </c>
      <c r="G27">
        <v>0.97619047619047616</v>
      </c>
      <c r="H27">
        <v>2</v>
      </c>
      <c r="I27">
        <v>3</v>
      </c>
      <c r="J27" t="b">
        <v>0</v>
      </c>
      <c r="K27" t="b">
        <v>1</v>
      </c>
      <c r="L27" t="b">
        <v>0</v>
      </c>
      <c r="M27" t="s">
        <v>141</v>
      </c>
      <c r="N27" t="s">
        <v>109</v>
      </c>
      <c r="O27">
        <v>19</v>
      </c>
      <c r="P27" t="s">
        <v>110</v>
      </c>
      <c r="Q27" t="s">
        <v>142</v>
      </c>
      <c r="R27" t="s">
        <v>112</v>
      </c>
    </row>
    <row r="28" spans="1:18" x14ac:dyDescent="0.2">
      <c r="A28" t="s">
        <v>85</v>
      </c>
      <c r="B28" t="s">
        <v>86</v>
      </c>
      <c r="C28">
        <v>2</v>
      </c>
      <c r="D28" t="s">
        <v>87</v>
      </c>
      <c r="E28" t="s">
        <v>143</v>
      </c>
      <c r="F28">
        <v>1</v>
      </c>
      <c r="G28">
        <v>0.98113207547169812</v>
      </c>
      <c r="H28">
        <v>3</v>
      </c>
      <c r="I28">
        <v>3</v>
      </c>
      <c r="J28" t="b">
        <v>0</v>
      </c>
      <c r="K28" t="b">
        <v>1</v>
      </c>
      <c r="L28" t="b">
        <v>1</v>
      </c>
      <c r="M28" t="s">
        <v>144</v>
      </c>
      <c r="N28" t="s">
        <v>109</v>
      </c>
      <c r="O28">
        <v>20</v>
      </c>
      <c r="P28" t="s">
        <v>110</v>
      </c>
      <c r="Q28" t="s">
        <v>145</v>
      </c>
      <c r="R28" t="s">
        <v>112</v>
      </c>
    </row>
    <row r="29" spans="1:18" x14ac:dyDescent="0.2">
      <c r="A29" t="s">
        <v>91</v>
      </c>
      <c r="B29" t="s">
        <v>92</v>
      </c>
      <c r="C29">
        <v>0</v>
      </c>
      <c r="D29" t="s">
        <v>93</v>
      </c>
      <c r="E29" t="s">
        <v>146</v>
      </c>
      <c r="F29">
        <v>0</v>
      </c>
      <c r="G29">
        <v>1</v>
      </c>
      <c r="H29">
        <v>1</v>
      </c>
      <c r="I29">
        <v>1</v>
      </c>
      <c r="J29" t="b">
        <v>0</v>
      </c>
      <c r="K29" t="b">
        <v>1</v>
      </c>
      <c r="L29" t="b">
        <v>1</v>
      </c>
      <c r="M29" t="s">
        <v>147</v>
      </c>
      <c r="N29" t="s">
        <v>109</v>
      </c>
      <c r="O29">
        <v>21</v>
      </c>
      <c r="P29" t="s">
        <v>110</v>
      </c>
      <c r="Q29" t="s">
        <v>148</v>
      </c>
      <c r="R29" t="s">
        <v>112</v>
      </c>
    </row>
    <row r="30" spans="1:18" x14ac:dyDescent="0.2">
      <c r="A30" t="s">
        <v>97</v>
      </c>
      <c r="B30" t="s">
        <v>92</v>
      </c>
      <c r="C30">
        <v>0</v>
      </c>
      <c r="D30" t="s">
        <v>98</v>
      </c>
      <c r="E30" t="s">
        <v>149</v>
      </c>
      <c r="F30">
        <v>0</v>
      </c>
      <c r="G30">
        <v>1</v>
      </c>
      <c r="H30">
        <v>1</v>
      </c>
      <c r="I30">
        <v>1</v>
      </c>
      <c r="J30" t="b">
        <v>0</v>
      </c>
      <c r="K30" t="b">
        <v>1</v>
      </c>
      <c r="L30" t="b">
        <v>1</v>
      </c>
      <c r="M30" t="s">
        <v>150</v>
      </c>
      <c r="N30" t="s">
        <v>109</v>
      </c>
      <c r="O30">
        <v>22</v>
      </c>
      <c r="P30" t="s">
        <v>110</v>
      </c>
      <c r="Q30" t="s">
        <v>151</v>
      </c>
      <c r="R30" t="s">
        <v>112</v>
      </c>
    </row>
    <row r="31" spans="1:18" x14ac:dyDescent="0.2">
      <c r="A31" t="s">
        <v>102</v>
      </c>
      <c r="B31" t="s">
        <v>57</v>
      </c>
      <c r="C31">
        <v>1</v>
      </c>
      <c r="D31" t="s">
        <v>103</v>
      </c>
      <c r="E31" t="s">
        <v>152</v>
      </c>
      <c r="F31">
        <v>1</v>
      </c>
      <c r="G31">
        <v>0.97435897435897434</v>
      </c>
      <c r="H31">
        <v>5</v>
      </c>
      <c r="I31">
        <v>5</v>
      </c>
      <c r="J31" t="b">
        <v>0</v>
      </c>
      <c r="K31" t="b">
        <v>0</v>
      </c>
      <c r="L31" t="b">
        <v>0</v>
      </c>
      <c r="M31" t="s">
        <v>153</v>
      </c>
      <c r="N31" t="s">
        <v>109</v>
      </c>
      <c r="O31">
        <v>23</v>
      </c>
      <c r="P31" t="s">
        <v>110</v>
      </c>
      <c r="Q31" t="s">
        <v>154</v>
      </c>
      <c r="R31" t="s">
        <v>112</v>
      </c>
    </row>
    <row r="32" spans="1:18" x14ac:dyDescent="0.2">
      <c r="A32" t="s">
        <v>18</v>
      </c>
      <c r="B32" t="s">
        <v>19</v>
      </c>
      <c r="C32">
        <v>1</v>
      </c>
      <c r="D32" t="s">
        <v>20</v>
      </c>
      <c r="E32" t="s">
        <v>182</v>
      </c>
      <c r="F32">
        <v>1</v>
      </c>
      <c r="G32">
        <v>0.97619047619047616</v>
      </c>
      <c r="H32">
        <v>4</v>
      </c>
      <c r="I32">
        <v>2</v>
      </c>
      <c r="J32" t="b">
        <v>0</v>
      </c>
      <c r="K32" t="b">
        <v>1</v>
      </c>
      <c r="L32" t="b">
        <v>1</v>
      </c>
      <c r="M32" t="s">
        <v>183</v>
      </c>
      <c r="N32" t="s">
        <v>184</v>
      </c>
      <c r="O32">
        <v>8</v>
      </c>
      <c r="P32" t="s">
        <v>110</v>
      </c>
      <c r="Q32" t="s">
        <v>185</v>
      </c>
      <c r="R32" s="10" t="s">
        <v>227</v>
      </c>
    </row>
    <row r="33" spans="1:18" x14ac:dyDescent="0.2">
      <c r="A33" t="s">
        <v>27</v>
      </c>
      <c r="B33" t="s">
        <v>28</v>
      </c>
      <c r="C33">
        <v>1</v>
      </c>
      <c r="D33" t="s">
        <v>29</v>
      </c>
      <c r="E33" t="s">
        <v>186</v>
      </c>
      <c r="F33">
        <v>1</v>
      </c>
      <c r="G33">
        <v>0.98148148148148151</v>
      </c>
      <c r="H33">
        <v>4</v>
      </c>
      <c r="I33">
        <v>4</v>
      </c>
      <c r="J33" t="b">
        <v>0</v>
      </c>
      <c r="K33" t="b">
        <v>0</v>
      </c>
      <c r="L33" t="b">
        <v>1</v>
      </c>
      <c r="M33" t="s">
        <v>187</v>
      </c>
      <c r="N33" t="s">
        <v>184</v>
      </c>
      <c r="O33">
        <v>9</v>
      </c>
      <c r="P33" t="s">
        <v>110</v>
      </c>
      <c r="Q33" t="s">
        <v>188</v>
      </c>
      <c r="R33" s="10" t="s">
        <v>227</v>
      </c>
    </row>
    <row r="34" spans="1:18" x14ac:dyDescent="0.2">
      <c r="A34" t="s">
        <v>33</v>
      </c>
      <c r="B34" t="s">
        <v>28</v>
      </c>
      <c r="C34">
        <v>1</v>
      </c>
      <c r="D34" t="s">
        <v>34</v>
      </c>
      <c r="E34" t="s">
        <v>189</v>
      </c>
      <c r="F34">
        <v>1</v>
      </c>
      <c r="G34">
        <v>0.98148148148148151</v>
      </c>
      <c r="H34">
        <v>4</v>
      </c>
      <c r="I34">
        <v>4</v>
      </c>
      <c r="J34" t="b">
        <v>0</v>
      </c>
      <c r="K34" t="b">
        <v>0</v>
      </c>
      <c r="L34" t="b">
        <v>1</v>
      </c>
      <c r="M34" t="s">
        <v>190</v>
      </c>
      <c r="N34" t="s">
        <v>184</v>
      </c>
      <c r="O34">
        <v>11</v>
      </c>
      <c r="P34" t="s">
        <v>110</v>
      </c>
      <c r="Q34" t="s">
        <v>191</v>
      </c>
      <c r="R34" s="10" t="s">
        <v>227</v>
      </c>
    </row>
    <row r="35" spans="1:18" x14ac:dyDescent="0.2">
      <c r="A35" t="s">
        <v>38</v>
      </c>
      <c r="B35" t="s">
        <v>39</v>
      </c>
      <c r="C35">
        <v>1</v>
      </c>
      <c r="D35" t="s">
        <v>40</v>
      </c>
      <c r="E35" t="s">
        <v>192</v>
      </c>
      <c r="F35">
        <v>1</v>
      </c>
      <c r="G35">
        <v>0.97959183673469385</v>
      </c>
      <c r="H35">
        <v>5</v>
      </c>
      <c r="I35">
        <v>5</v>
      </c>
      <c r="J35" t="b">
        <v>0</v>
      </c>
      <c r="K35" t="b">
        <v>0</v>
      </c>
      <c r="L35" t="b">
        <v>0</v>
      </c>
      <c r="M35" t="s">
        <v>193</v>
      </c>
      <c r="N35" t="s">
        <v>184</v>
      </c>
      <c r="O35">
        <v>12</v>
      </c>
      <c r="P35" t="s">
        <v>110</v>
      </c>
      <c r="Q35" t="s">
        <v>194</v>
      </c>
      <c r="R35" s="10" t="s">
        <v>227</v>
      </c>
    </row>
    <row r="36" spans="1:18" x14ac:dyDescent="0.2">
      <c r="A36" t="s">
        <v>44</v>
      </c>
      <c r="B36" t="s">
        <v>45</v>
      </c>
      <c r="C36">
        <v>1</v>
      </c>
      <c r="D36" t="s">
        <v>46</v>
      </c>
      <c r="E36" t="s">
        <v>195</v>
      </c>
      <c r="F36">
        <v>1</v>
      </c>
      <c r="G36">
        <v>0.97435897435897434</v>
      </c>
      <c r="H36">
        <v>3</v>
      </c>
      <c r="I36">
        <v>2</v>
      </c>
      <c r="J36" t="b">
        <v>0</v>
      </c>
      <c r="K36" t="b">
        <v>1</v>
      </c>
      <c r="L36" t="b">
        <v>1</v>
      </c>
      <c r="M36" t="s">
        <v>196</v>
      </c>
      <c r="N36" t="s">
        <v>184</v>
      </c>
      <c r="O36">
        <v>13</v>
      </c>
      <c r="P36" t="s">
        <v>110</v>
      </c>
      <c r="Q36" t="s">
        <v>197</v>
      </c>
      <c r="R36" s="10" t="s">
        <v>227</v>
      </c>
    </row>
    <row r="37" spans="1:18" x14ac:dyDescent="0.2">
      <c r="A37" t="s">
        <v>50</v>
      </c>
      <c r="B37" t="s">
        <v>51</v>
      </c>
      <c r="C37">
        <v>1</v>
      </c>
      <c r="D37" t="s">
        <v>52</v>
      </c>
      <c r="E37" t="s">
        <v>198</v>
      </c>
      <c r="F37">
        <v>1</v>
      </c>
      <c r="G37">
        <v>0.98148148148148151</v>
      </c>
      <c r="H37">
        <v>3</v>
      </c>
      <c r="I37">
        <v>4</v>
      </c>
      <c r="J37" t="b">
        <v>0</v>
      </c>
      <c r="K37" t="b">
        <v>0</v>
      </c>
      <c r="L37" t="b">
        <v>1</v>
      </c>
      <c r="M37" t="s">
        <v>199</v>
      </c>
      <c r="N37" t="s">
        <v>184</v>
      </c>
      <c r="O37">
        <v>14</v>
      </c>
      <c r="P37" t="s">
        <v>110</v>
      </c>
      <c r="Q37" t="s">
        <v>200</v>
      </c>
      <c r="R37" s="10" t="s">
        <v>227</v>
      </c>
    </row>
    <row r="38" spans="1:18" x14ac:dyDescent="0.2">
      <c r="A38" t="s">
        <v>56</v>
      </c>
      <c r="B38" t="s">
        <v>57</v>
      </c>
      <c r="C38">
        <v>1</v>
      </c>
      <c r="D38" t="s">
        <v>58</v>
      </c>
      <c r="E38" t="s">
        <v>201</v>
      </c>
      <c r="F38">
        <v>1</v>
      </c>
      <c r="G38">
        <v>0.97435897435897434</v>
      </c>
      <c r="H38">
        <v>4</v>
      </c>
      <c r="I38">
        <v>4</v>
      </c>
      <c r="J38" t="b">
        <v>0</v>
      </c>
      <c r="K38" t="b">
        <v>0</v>
      </c>
      <c r="L38" t="b">
        <v>1</v>
      </c>
      <c r="M38" t="s">
        <v>202</v>
      </c>
      <c r="N38" t="s">
        <v>184</v>
      </c>
      <c r="O38">
        <v>15</v>
      </c>
      <c r="P38" t="s">
        <v>110</v>
      </c>
      <c r="Q38" t="s">
        <v>203</v>
      </c>
      <c r="R38" s="10" t="s">
        <v>227</v>
      </c>
    </row>
    <row r="39" spans="1:18" x14ac:dyDescent="0.2">
      <c r="A39" t="s">
        <v>62</v>
      </c>
      <c r="B39" t="s">
        <v>63</v>
      </c>
      <c r="C39">
        <v>1</v>
      </c>
      <c r="D39" t="s">
        <v>64</v>
      </c>
      <c r="E39" t="s">
        <v>204</v>
      </c>
      <c r="F39">
        <v>1</v>
      </c>
      <c r="G39">
        <v>0.98181818181818181</v>
      </c>
      <c r="H39">
        <v>3</v>
      </c>
      <c r="I39">
        <v>5</v>
      </c>
      <c r="J39" t="b">
        <v>0</v>
      </c>
      <c r="K39" t="b">
        <v>0</v>
      </c>
      <c r="L39" t="b">
        <v>0</v>
      </c>
      <c r="M39" t="s">
        <v>205</v>
      </c>
      <c r="N39" t="s">
        <v>184</v>
      </c>
      <c r="O39">
        <v>16</v>
      </c>
      <c r="P39" t="s">
        <v>110</v>
      </c>
      <c r="Q39" t="s">
        <v>206</v>
      </c>
      <c r="R39" s="10" t="s">
        <v>227</v>
      </c>
    </row>
    <row r="40" spans="1:18" x14ac:dyDescent="0.2">
      <c r="A40" t="s">
        <v>68</v>
      </c>
      <c r="B40" t="s">
        <v>69</v>
      </c>
      <c r="C40">
        <v>2</v>
      </c>
      <c r="D40" t="s">
        <v>70</v>
      </c>
      <c r="E40" t="s">
        <v>207</v>
      </c>
      <c r="F40">
        <v>1</v>
      </c>
      <c r="G40">
        <v>0.97530864197530864</v>
      </c>
      <c r="H40">
        <v>3</v>
      </c>
      <c r="I40">
        <v>3</v>
      </c>
      <c r="J40" t="b">
        <v>0</v>
      </c>
      <c r="K40" t="b">
        <v>1</v>
      </c>
      <c r="L40" t="b">
        <v>1</v>
      </c>
      <c r="M40" t="s">
        <v>208</v>
      </c>
      <c r="N40" t="s">
        <v>184</v>
      </c>
      <c r="O40">
        <v>17</v>
      </c>
      <c r="P40" t="s">
        <v>110</v>
      </c>
      <c r="Q40" t="s">
        <v>209</v>
      </c>
      <c r="R40" s="10" t="s">
        <v>227</v>
      </c>
    </row>
    <row r="41" spans="1:18" x14ac:dyDescent="0.2">
      <c r="A41" t="s">
        <v>74</v>
      </c>
      <c r="B41" t="s">
        <v>69</v>
      </c>
      <c r="C41">
        <v>2</v>
      </c>
      <c r="D41" t="s">
        <v>75</v>
      </c>
      <c r="E41" t="s">
        <v>210</v>
      </c>
      <c r="F41">
        <v>1</v>
      </c>
      <c r="G41">
        <v>0.88764044943820219</v>
      </c>
      <c r="H41">
        <v>2</v>
      </c>
      <c r="I41">
        <v>3</v>
      </c>
      <c r="J41" t="b">
        <v>0</v>
      </c>
      <c r="K41" t="b">
        <v>1</v>
      </c>
      <c r="L41" t="b">
        <v>1</v>
      </c>
      <c r="M41" t="s">
        <v>211</v>
      </c>
      <c r="N41" t="s">
        <v>184</v>
      </c>
      <c r="O41">
        <v>18</v>
      </c>
      <c r="P41" t="s">
        <v>110</v>
      </c>
      <c r="Q41" t="s">
        <v>212</v>
      </c>
      <c r="R41" s="10" t="s">
        <v>227</v>
      </c>
    </row>
    <row r="42" spans="1:18" x14ac:dyDescent="0.2">
      <c r="A42" t="s">
        <v>79</v>
      </c>
      <c r="B42" t="s">
        <v>80</v>
      </c>
      <c r="C42">
        <v>2</v>
      </c>
      <c r="D42" t="s">
        <v>81</v>
      </c>
      <c r="E42" t="s">
        <v>213</v>
      </c>
      <c r="F42">
        <v>1</v>
      </c>
      <c r="G42">
        <v>0.83673469387755106</v>
      </c>
      <c r="H42">
        <v>3</v>
      </c>
      <c r="I42">
        <v>3</v>
      </c>
      <c r="J42" t="b">
        <v>0</v>
      </c>
      <c r="K42" t="b">
        <v>1</v>
      </c>
      <c r="L42" t="b">
        <v>1</v>
      </c>
      <c r="M42" t="s">
        <v>214</v>
      </c>
      <c r="N42" t="s">
        <v>184</v>
      </c>
      <c r="O42">
        <v>19</v>
      </c>
      <c r="P42" t="s">
        <v>110</v>
      </c>
      <c r="Q42" t="s">
        <v>215</v>
      </c>
      <c r="R42" s="10" t="s">
        <v>227</v>
      </c>
    </row>
    <row r="43" spans="1:18" x14ac:dyDescent="0.2">
      <c r="A43" t="s">
        <v>85</v>
      </c>
      <c r="B43" t="s">
        <v>86</v>
      </c>
      <c r="C43">
        <v>2</v>
      </c>
      <c r="D43" t="s">
        <v>87</v>
      </c>
      <c r="E43" t="s">
        <v>216</v>
      </c>
      <c r="F43">
        <v>1</v>
      </c>
      <c r="G43">
        <v>0.98113207547169812</v>
      </c>
      <c r="H43">
        <v>3</v>
      </c>
      <c r="I43">
        <v>2</v>
      </c>
      <c r="J43" t="b">
        <v>0</v>
      </c>
      <c r="K43" t="b">
        <v>1</v>
      </c>
      <c r="L43" t="b">
        <v>1</v>
      </c>
      <c r="M43" t="s">
        <v>217</v>
      </c>
      <c r="N43" t="s">
        <v>184</v>
      </c>
      <c r="O43">
        <v>20</v>
      </c>
      <c r="P43" t="s">
        <v>110</v>
      </c>
      <c r="Q43" t="s">
        <v>218</v>
      </c>
      <c r="R43" s="10" t="s">
        <v>227</v>
      </c>
    </row>
    <row r="44" spans="1:18" x14ac:dyDescent="0.2">
      <c r="A44" t="s">
        <v>91</v>
      </c>
      <c r="B44" t="s">
        <v>92</v>
      </c>
      <c r="C44">
        <v>0</v>
      </c>
      <c r="D44" t="s">
        <v>93</v>
      </c>
      <c r="E44" t="s">
        <v>219</v>
      </c>
      <c r="F44">
        <v>0</v>
      </c>
      <c r="G44">
        <v>1</v>
      </c>
      <c r="H44">
        <v>3</v>
      </c>
      <c r="I44">
        <v>3</v>
      </c>
      <c r="J44" t="b">
        <v>0</v>
      </c>
      <c r="K44" t="b">
        <v>1</v>
      </c>
      <c r="L44" t="b">
        <v>0</v>
      </c>
      <c r="M44" t="s">
        <v>220</v>
      </c>
      <c r="N44" t="s">
        <v>184</v>
      </c>
      <c r="O44">
        <v>21</v>
      </c>
      <c r="P44" t="s">
        <v>110</v>
      </c>
      <c r="Q44" t="s">
        <v>221</v>
      </c>
      <c r="R44" s="10" t="s">
        <v>227</v>
      </c>
    </row>
    <row r="45" spans="1:18" x14ac:dyDescent="0.2">
      <c r="A45" t="s">
        <v>97</v>
      </c>
      <c r="B45" t="s">
        <v>92</v>
      </c>
      <c r="C45">
        <v>0</v>
      </c>
      <c r="D45" t="s">
        <v>98</v>
      </c>
      <c r="E45" t="s">
        <v>219</v>
      </c>
      <c r="F45">
        <v>0</v>
      </c>
      <c r="G45">
        <v>1</v>
      </c>
      <c r="H45">
        <v>3</v>
      </c>
      <c r="I45">
        <v>1</v>
      </c>
      <c r="J45" t="b">
        <v>0</v>
      </c>
      <c r="K45" t="b">
        <v>1</v>
      </c>
      <c r="L45" t="b">
        <v>1</v>
      </c>
      <c r="M45" t="s">
        <v>222</v>
      </c>
      <c r="N45" t="s">
        <v>184</v>
      </c>
      <c r="O45">
        <v>22</v>
      </c>
      <c r="P45" t="s">
        <v>110</v>
      </c>
      <c r="Q45" t="s">
        <v>223</v>
      </c>
      <c r="R45" s="10" t="s">
        <v>227</v>
      </c>
    </row>
    <row r="46" spans="1:18" x14ac:dyDescent="0.2">
      <c r="A46" t="s">
        <v>102</v>
      </c>
      <c r="B46" t="s">
        <v>57</v>
      </c>
      <c r="C46">
        <v>1</v>
      </c>
      <c r="D46" t="s">
        <v>103</v>
      </c>
      <c r="E46" t="s">
        <v>224</v>
      </c>
      <c r="F46">
        <v>1</v>
      </c>
      <c r="G46">
        <v>0.97435897435897434</v>
      </c>
      <c r="H46">
        <v>4</v>
      </c>
      <c r="I46">
        <v>4</v>
      </c>
      <c r="J46" t="b">
        <v>0</v>
      </c>
      <c r="K46" t="b">
        <v>0</v>
      </c>
      <c r="L46" t="b">
        <v>1</v>
      </c>
      <c r="M46" t="s">
        <v>225</v>
      </c>
      <c r="N46" t="s">
        <v>184</v>
      </c>
      <c r="O46">
        <v>23</v>
      </c>
      <c r="P46" t="s">
        <v>110</v>
      </c>
      <c r="Q46" t="s">
        <v>226</v>
      </c>
      <c r="R46" s="10" t="s">
        <v>227</v>
      </c>
    </row>
    <row r="47" spans="1:18" x14ac:dyDescent="0.2">
      <c r="A47" t="s">
        <v>18</v>
      </c>
      <c r="B47" t="s">
        <v>19</v>
      </c>
      <c r="C47">
        <v>1</v>
      </c>
      <c r="D47" t="s">
        <v>20</v>
      </c>
      <c r="E47" t="s">
        <v>228</v>
      </c>
      <c r="F47">
        <v>1</v>
      </c>
      <c r="G47">
        <v>0.97619047619047616</v>
      </c>
      <c r="H47">
        <v>4</v>
      </c>
      <c r="I47">
        <v>4</v>
      </c>
      <c r="J47" t="b">
        <v>0</v>
      </c>
      <c r="K47" t="b">
        <v>0</v>
      </c>
      <c r="L47" t="b">
        <v>1</v>
      </c>
      <c r="M47" t="s">
        <v>229</v>
      </c>
      <c r="N47" t="s">
        <v>230</v>
      </c>
      <c r="O47">
        <v>8</v>
      </c>
      <c r="P47" t="s">
        <v>110</v>
      </c>
      <c r="Q47" t="s">
        <v>231</v>
      </c>
      <c r="R47" s="10" t="s">
        <v>273</v>
      </c>
    </row>
    <row r="48" spans="1:18" x14ac:dyDescent="0.2">
      <c r="A48" t="s">
        <v>27</v>
      </c>
      <c r="B48" t="s">
        <v>28</v>
      </c>
      <c r="C48">
        <v>1</v>
      </c>
      <c r="D48" t="s">
        <v>29</v>
      </c>
      <c r="E48" t="s">
        <v>232</v>
      </c>
      <c r="F48">
        <v>1</v>
      </c>
      <c r="G48">
        <v>0.98148148148148151</v>
      </c>
      <c r="H48">
        <v>5</v>
      </c>
      <c r="I48">
        <v>4</v>
      </c>
      <c r="J48" t="b">
        <v>0</v>
      </c>
      <c r="K48" t="b">
        <v>0</v>
      </c>
      <c r="L48" t="b">
        <v>1</v>
      </c>
      <c r="M48" t="s">
        <v>233</v>
      </c>
      <c r="N48" t="s">
        <v>230</v>
      </c>
      <c r="O48">
        <v>9</v>
      </c>
      <c r="P48" t="s">
        <v>110</v>
      </c>
      <c r="Q48" t="s">
        <v>234</v>
      </c>
      <c r="R48" s="10" t="s">
        <v>273</v>
      </c>
    </row>
    <row r="49" spans="1:18" x14ac:dyDescent="0.2">
      <c r="A49" t="s">
        <v>33</v>
      </c>
      <c r="B49" t="s">
        <v>28</v>
      </c>
      <c r="C49">
        <v>1</v>
      </c>
      <c r="D49" t="s">
        <v>34</v>
      </c>
      <c r="E49" t="s">
        <v>235</v>
      </c>
      <c r="F49">
        <v>1</v>
      </c>
      <c r="G49">
        <v>0.98148148148148151</v>
      </c>
      <c r="H49">
        <v>4</v>
      </c>
      <c r="I49">
        <v>4</v>
      </c>
      <c r="J49" t="b">
        <v>0</v>
      </c>
      <c r="K49" t="b">
        <v>0</v>
      </c>
      <c r="L49" t="b">
        <v>1</v>
      </c>
      <c r="M49" t="s">
        <v>236</v>
      </c>
      <c r="N49" t="s">
        <v>230</v>
      </c>
      <c r="O49">
        <v>11</v>
      </c>
      <c r="P49" t="s">
        <v>110</v>
      </c>
      <c r="Q49" t="s">
        <v>237</v>
      </c>
      <c r="R49" s="10" t="s">
        <v>273</v>
      </c>
    </row>
    <row r="50" spans="1:18" x14ac:dyDescent="0.2">
      <c r="A50" t="s">
        <v>38</v>
      </c>
      <c r="B50" t="s">
        <v>39</v>
      </c>
      <c r="C50">
        <v>1</v>
      </c>
      <c r="D50" t="s">
        <v>40</v>
      </c>
      <c r="E50" t="s">
        <v>238</v>
      </c>
      <c r="F50">
        <v>1</v>
      </c>
      <c r="G50">
        <v>0.97959183673469385</v>
      </c>
      <c r="H50">
        <v>4</v>
      </c>
      <c r="I50">
        <v>5</v>
      </c>
      <c r="J50" t="b">
        <v>0</v>
      </c>
      <c r="K50" t="b">
        <v>0</v>
      </c>
      <c r="L50" t="b">
        <v>0</v>
      </c>
      <c r="M50" t="s">
        <v>239</v>
      </c>
      <c r="N50" t="s">
        <v>230</v>
      </c>
      <c r="O50">
        <v>12</v>
      </c>
      <c r="P50" t="s">
        <v>110</v>
      </c>
      <c r="Q50" t="s">
        <v>240</v>
      </c>
      <c r="R50" s="10" t="s">
        <v>273</v>
      </c>
    </row>
    <row r="51" spans="1:18" x14ac:dyDescent="0.2">
      <c r="A51" t="s">
        <v>44</v>
      </c>
      <c r="B51" t="s">
        <v>45</v>
      </c>
      <c r="C51">
        <v>1</v>
      </c>
      <c r="D51" t="s">
        <v>46</v>
      </c>
      <c r="E51" t="s">
        <v>241</v>
      </c>
      <c r="F51">
        <v>1</v>
      </c>
      <c r="G51">
        <v>0.97435897435897434</v>
      </c>
      <c r="H51">
        <v>3</v>
      </c>
      <c r="I51">
        <v>3</v>
      </c>
      <c r="J51" t="b">
        <v>0</v>
      </c>
      <c r="K51" t="b">
        <v>1</v>
      </c>
      <c r="L51" t="b">
        <v>0</v>
      </c>
      <c r="M51" t="s">
        <v>242</v>
      </c>
      <c r="N51" t="s">
        <v>230</v>
      </c>
      <c r="O51">
        <v>13</v>
      </c>
      <c r="P51" t="s">
        <v>110</v>
      </c>
      <c r="Q51" t="s">
        <v>243</v>
      </c>
      <c r="R51" s="10" t="s">
        <v>273</v>
      </c>
    </row>
    <row r="52" spans="1:18" x14ac:dyDescent="0.2">
      <c r="A52" t="s">
        <v>50</v>
      </c>
      <c r="B52" t="s">
        <v>51</v>
      </c>
      <c r="C52">
        <v>1</v>
      </c>
      <c r="D52" t="s">
        <v>52</v>
      </c>
      <c r="E52" t="s">
        <v>244</v>
      </c>
      <c r="F52">
        <v>1</v>
      </c>
      <c r="G52">
        <v>0.98148148148148151</v>
      </c>
      <c r="H52">
        <v>3</v>
      </c>
      <c r="I52">
        <v>3</v>
      </c>
      <c r="J52" t="b">
        <v>0</v>
      </c>
      <c r="K52" t="b">
        <v>1</v>
      </c>
      <c r="L52" t="b">
        <v>1</v>
      </c>
      <c r="M52" t="s">
        <v>245</v>
      </c>
      <c r="N52" t="s">
        <v>230</v>
      </c>
      <c r="O52">
        <v>14</v>
      </c>
      <c r="P52" t="s">
        <v>110</v>
      </c>
      <c r="Q52" t="s">
        <v>246</v>
      </c>
      <c r="R52" s="10" t="s">
        <v>273</v>
      </c>
    </row>
    <row r="53" spans="1:18" x14ac:dyDescent="0.2">
      <c r="A53" t="s">
        <v>56</v>
      </c>
      <c r="B53" t="s">
        <v>57</v>
      </c>
      <c r="C53">
        <v>1</v>
      </c>
      <c r="D53" t="s">
        <v>58</v>
      </c>
      <c r="E53" t="s">
        <v>247</v>
      </c>
      <c r="F53">
        <v>1</v>
      </c>
      <c r="G53">
        <v>0.97435897435897434</v>
      </c>
      <c r="H53">
        <v>4</v>
      </c>
      <c r="I53">
        <v>4</v>
      </c>
      <c r="J53" t="b">
        <v>0</v>
      </c>
      <c r="K53" t="b">
        <v>0</v>
      </c>
      <c r="L53" t="b">
        <v>1</v>
      </c>
      <c r="M53" t="s">
        <v>248</v>
      </c>
      <c r="N53" t="s">
        <v>230</v>
      </c>
      <c r="O53">
        <v>15</v>
      </c>
      <c r="P53" t="s">
        <v>110</v>
      </c>
      <c r="Q53" t="s">
        <v>249</v>
      </c>
      <c r="R53" s="10" t="s">
        <v>273</v>
      </c>
    </row>
    <row r="54" spans="1:18" x14ac:dyDescent="0.2">
      <c r="A54" t="s">
        <v>62</v>
      </c>
      <c r="B54" t="s">
        <v>63</v>
      </c>
      <c r="C54">
        <v>1</v>
      </c>
      <c r="D54" t="s">
        <v>64</v>
      </c>
      <c r="E54" t="s">
        <v>250</v>
      </c>
      <c r="F54">
        <v>1</v>
      </c>
      <c r="G54">
        <v>0.98181818181818181</v>
      </c>
      <c r="H54">
        <v>4</v>
      </c>
      <c r="I54">
        <v>3</v>
      </c>
      <c r="J54" t="b">
        <v>0</v>
      </c>
      <c r="K54" t="b">
        <v>1</v>
      </c>
      <c r="L54" t="b">
        <v>1</v>
      </c>
      <c r="M54" t="s">
        <v>251</v>
      </c>
      <c r="N54" t="s">
        <v>230</v>
      </c>
      <c r="O54">
        <v>16</v>
      </c>
      <c r="P54" t="s">
        <v>110</v>
      </c>
      <c r="Q54" t="s">
        <v>252</v>
      </c>
      <c r="R54" s="10" t="s">
        <v>273</v>
      </c>
    </row>
    <row r="55" spans="1:18" x14ac:dyDescent="0.2">
      <c r="A55" t="s">
        <v>68</v>
      </c>
      <c r="B55" t="s">
        <v>69</v>
      </c>
      <c r="C55">
        <v>2</v>
      </c>
      <c r="D55" t="s">
        <v>70</v>
      </c>
      <c r="E55" t="s">
        <v>253</v>
      </c>
      <c r="F55">
        <v>0</v>
      </c>
      <c r="G55">
        <v>0.46913580246913578</v>
      </c>
      <c r="H55">
        <v>3</v>
      </c>
      <c r="I55">
        <v>3</v>
      </c>
      <c r="J55" t="b">
        <v>0</v>
      </c>
      <c r="K55" t="b">
        <v>1</v>
      </c>
      <c r="L55" t="b">
        <v>1</v>
      </c>
      <c r="M55" t="s">
        <v>254</v>
      </c>
      <c r="N55" t="s">
        <v>230</v>
      </c>
      <c r="O55">
        <v>17</v>
      </c>
      <c r="P55" t="s">
        <v>110</v>
      </c>
      <c r="Q55" t="s">
        <v>255</v>
      </c>
      <c r="R55" s="10" t="s">
        <v>273</v>
      </c>
    </row>
    <row r="56" spans="1:18" x14ac:dyDescent="0.2">
      <c r="A56" t="s">
        <v>74</v>
      </c>
      <c r="B56" t="s">
        <v>69</v>
      </c>
      <c r="C56">
        <v>2</v>
      </c>
      <c r="D56" t="s">
        <v>75</v>
      </c>
      <c r="E56" t="s">
        <v>256</v>
      </c>
      <c r="F56">
        <v>0</v>
      </c>
      <c r="G56">
        <v>0</v>
      </c>
      <c r="H56">
        <v>3</v>
      </c>
      <c r="I56">
        <v>3</v>
      </c>
      <c r="J56" t="b">
        <v>0</v>
      </c>
      <c r="K56" t="b">
        <v>1</v>
      </c>
      <c r="L56" t="b">
        <v>0</v>
      </c>
      <c r="M56" t="s">
        <v>257</v>
      </c>
      <c r="N56" t="s">
        <v>230</v>
      </c>
      <c r="O56">
        <v>18</v>
      </c>
      <c r="P56" t="s">
        <v>110</v>
      </c>
      <c r="Q56" t="s">
        <v>258</v>
      </c>
      <c r="R56" s="10" t="s">
        <v>273</v>
      </c>
    </row>
    <row r="57" spans="1:18" x14ac:dyDescent="0.2">
      <c r="A57" t="s">
        <v>79</v>
      </c>
      <c r="B57" t="s">
        <v>80</v>
      </c>
      <c r="C57">
        <v>2</v>
      </c>
      <c r="D57" t="s">
        <v>81</v>
      </c>
      <c r="E57" t="s">
        <v>259</v>
      </c>
      <c r="F57">
        <v>0</v>
      </c>
      <c r="G57">
        <v>0.58156028368794321</v>
      </c>
      <c r="H57">
        <v>2</v>
      </c>
      <c r="I57">
        <v>4</v>
      </c>
      <c r="J57" t="b">
        <v>0</v>
      </c>
      <c r="K57" t="b">
        <v>0</v>
      </c>
      <c r="L57" t="b">
        <v>1</v>
      </c>
      <c r="M57" t="s">
        <v>260</v>
      </c>
      <c r="N57" t="s">
        <v>230</v>
      </c>
      <c r="O57">
        <v>19</v>
      </c>
      <c r="P57" t="s">
        <v>110</v>
      </c>
      <c r="Q57" t="s">
        <v>261</v>
      </c>
      <c r="R57" s="10" t="s">
        <v>273</v>
      </c>
    </row>
    <row r="58" spans="1:18" x14ac:dyDescent="0.2">
      <c r="A58" t="s">
        <v>85</v>
      </c>
      <c r="B58" t="s">
        <v>86</v>
      </c>
      <c r="C58">
        <v>2</v>
      </c>
      <c r="D58" t="s">
        <v>87</v>
      </c>
      <c r="E58" t="s">
        <v>262</v>
      </c>
      <c r="F58">
        <v>1</v>
      </c>
      <c r="G58">
        <v>0.98113207547169812</v>
      </c>
      <c r="H58">
        <v>3</v>
      </c>
      <c r="I58">
        <v>3</v>
      </c>
      <c r="J58" t="b">
        <v>0</v>
      </c>
      <c r="K58" t="b">
        <v>1</v>
      </c>
      <c r="L58" t="b">
        <v>0</v>
      </c>
      <c r="M58" t="s">
        <v>263</v>
      </c>
      <c r="N58" t="s">
        <v>230</v>
      </c>
      <c r="O58">
        <v>20</v>
      </c>
      <c r="P58" t="s">
        <v>110</v>
      </c>
      <c r="Q58" t="s">
        <v>264</v>
      </c>
      <c r="R58" s="10" t="s">
        <v>273</v>
      </c>
    </row>
    <row r="59" spans="1:18" x14ac:dyDescent="0.2">
      <c r="A59" t="s">
        <v>91</v>
      </c>
      <c r="B59" t="s">
        <v>92</v>
      </c>
      <c r="C59">
        <v>0</v>
      </c>
      <c r="D59" t="s">
        <v>93</v>
      </c>
      <c r="E59" t="s">
        <v>99</v>
      </c>
      <c r="F59">
        <v>0</v>
      </c>
      <c r="G59">
        <v>1</v>
      </c>
      <c r="H59">
        <v>3</v>
      </c>
      <c r="I59">
        <v>1</v>
      </c>
      <c r="J59" t="b">
        <v>0</v>
      </c>
      <c r="K59" t="b">
        <v>1</v>
      </c>
      <c r="L59" t="b">
        <v>0</v>
      </c>
      <c r="M59" t="s">
        <v>265</v>
      </c>
      <c r="N59" t="s">
        <v>230</v>
      </c>
      <c r="O59">
        <v>21</v>
      </c>
      <c r="P59" t="s">
        <v>110</v>
      </c>
      <c r="Q59" t="s">
        <v>266</v>
      </c>
      <c r="R59" s="10" t="s">
        <v>273</v>
      </c>
    </row>
    <row r="60" spans="1:18" x14ac:dyDescent="0.2">
      <c r="A60" t="s">
        <v>97</v>
      </c>
      <c r="B60" t="s">
        <v>92</v>
      </c>
      <c r="C60">
        <v>0</v>
      </c>
      <c r="D60" t="s">
        <v>98</v>
      </c>
      <c r="E60" t="s">
        <v>267</v>
      </c>
      <c r="F60">
        <v>0</v>
      </c>
      <c r="G60">
        <v>0</v>
      </c>
      <c r="H60">
        <v>3</v>
      </c>
      <c r="I60">
        <v>3</v>
      </c>
      <c r="J60" t="b">
        <v>0</v>
      </c>
      <c r="K60" t="b">
        <v>0</v>
      </c>
      <c r="L60" t="b">
        <v>1</v>
      </c>
      <c r="M60" t="s">
        <v>268</v>
      </c>
      <c r="N60" t="s">
        <v>230</v>
      </c>
      <c r="O60">
        <v>22</v>
      </c>
      <c r="P60" t="s">
        <v>110</v>
      </c>
      <c r="Q60" t="s">
        <v>269</v>
      </c>
      <c r="R60" s="10" t="s">
        <v>273</v>
      </c>
    </row>
    <row r="61" spans="1:18" x14ac:dyDescent="0.2">
      <c r="A61" t="s">
        <v>102</v>
      </c>
      <c r="B61" t="s">
        <v>57</v>
      </c>
      <c r="C61">
        <v>1</v>
      </c>
      <c r="D61" t="s">
        <v>103</v>
      </c>
      <c r="E61" t="s">
        <v>270</v>
      </c>
      <c r="F61">
        <v>1</v>
      </c>
      <c r="G61">
        <v>0.97435897435897434</v>
      </c>
      <c r="H61">
        <v>4</v>
      </c>
      <c r="I61">
        <v>4</v>
      </c>
      <c r="J61" t="b">
        <v>0</v>
      </c>
      <c r="K61" t="b">
        <v>0</v>
      </c>
      <c r="L61" t="b">
        <v>1</v>
      </c>
      <c r="M61" t="s">
        <v>271</v>
      </c>
      <c r="N61" t="s">
        <v>230</v>
      </c>
      <c r="O61">
        <v>23</v>
      </c>
      <c r="P61" t="s">
        <v>110</v>
      </c>
      <c r="Q61" t="s">
        <v>272</v>
      </c>
      <c r="R61" s="10" t="s">
        <v>273</v>
      </c>
    </row>
    <row r="62" spans="1:18" x14ac:dyDescent="0.2">
      <c r="A62" t="s">
        <v>18</v>
      </c>
      <c r="B62" t="s">
        <v>19</v>
      </c>
      <c r="C62">
        <v>1</v>
      </c>
      <c r="D62" t="s">
        <v>20</v>
      </c>
      <c r="E62" t="s">
        <v>288</v>
      </c>
      <c r="F62">
        <v>1</v>
      </c>
      <c r="G62">
        <v>0.97619047619047616</v>
      </c>
      <c r="H62">
        <v>4</v>
      </c>
      <c r="I62">
        <v>3</v>
      </c>
      <c r="J62" t="b">
        <v>0</v>
      </c>
      <c r="K62" t="b">
        <v>1</v>
      </c>
      <c r="L62" t="b">
        <v>1</v>
      </c>
      <c r="M62" t="s">
        <v>289</v>
      </c>
      <c r="N62" t="s">
        <v>290</v>
      </c>
      <c r="O62">
        <v>8</v>
      </c>
      <c r="P62" t="s">
        <v>110</v>
      </c>
      <c r="Q62" t="s">
        <v>291</v>
      </c>
      <c r="R62" s="10" t="s">
        <v>332</v>
      </c>
    </row>
    <row r="63" spans="1:18" x14ac:dyDescent="0.2">
      <c r="A63" t="s">
        <v>27</v>
      </c>
      <c r="B63" t="s">
        <v>28</v>
      </c>
      <c r="C63">
        <v>1</v>
      </c>
      <c r="D63" t="s">
        <v>29</v>
      </c>
      <c r="E63" t="s">
        <v>292</v>
      </c>
      <c r="F63">
        <v>1</v>
      </c>
      <c r="G63">
        <v>0.98148148148148151</v>
      </c>
      <c r="H63">
        <v>4</v>
      </c>
      <c r="I63">
        <v>4</v>
      </c>
      <c r="J63" t="b">
        <v>0</v>
      </c>
      <c r="K63" t="b">
        <v>0</v>
      </c>
      <c r="L63" t="b">
        <v>1</v>
      </c>
      <c r="M63" t="s">
        <v>293</v>
      </c>
      <c r="N63" t="s">
        <v>290</v>
      </c>
      <c r="O63">
        <v>9</v>
      </c>
      <c r="P63" t="s">
        <v>110</v>
      </c>
      <c r="Q63" t="s">
        <v>294</v>
      </c>
      <c r="R63" s="10" t="s">
        <v>332</v>
      </c>
    </row>
    <row r="64" spans="1:18" x14ac:dyDescent="0.2">
      <c r="A64" t="s">
        <v>33</v>
      </c>
      <c r="B64" t="s">
        <v>28</v>
      </c>
      <c r="C64">
        <v>1</v>
      </c>
      <c r="D64" t="s">
        <v>34</v>
      </c>
      <c r="E64" t="s">
        <v>295</v>
      </c>
      <c r="F64">
        <v>1</v>
      </c>
      <c r="G64">
        <v>0.98148148148148151</v>
      </c>
      <c r="H64">
        <v>4</v>
      </c>
      <c r="I64">
        <v>4</v>
      </c>
      <c r="J64" t="b">
        <v>0</v>
      </c>
      <c r="K64" t="b">
        <v>0</v>
      </c>
      <c r="L64" t="b">
        <v>1</v>
      </c>
      <c r="M64" t="s">
        <v>296</v>
      </c>
      <c r="N64" t="s">
        <v>290</v>
      </c>
      <c r="O64">
        <v>11</v>
      </c>
      <c r="P64" t="s">
        <v>110</v>
      </c>
      <c r="Q64" t="s">
        <v>297</v>
      </c>
      <c r="R64" s="10" t="s">
        <v>332</v>
      </c>
    </row>
    <row r="65" spans="1:18" x14ac:dyDescent="0.2">
      <c r="A65" t="s">
        <v>38</v>
      </c>
      <c r="B65" t="s">
        <v>39</v>
      </c>
      <c r="C65">
        <v>1</v>
      </c>
      <c r="D65" t="s">
        <v>40</v>
      </c>
      <c r="E65" t="s">
        <v>298</v>
      </c>
      <c r="F65">
        <v>1</v>
      </c>
      <c r="G65">
        <v>0.97959183673469385</v>
      </c>
      <c r="H65">
        <v>4</v>
      </c>
      <c r="I65">
        <v>4</v>
      </c>
      <c r="J65" t="b">
        <v>0</v>
      </c>
      <c r="K65" t="b">
        <v>0</v>
      </c>
      <c r="L65" t="b">
        <v>1</v>
      </c>
      <c r="M65" t="s">
        <v>299</v>
      </c>
      <c r="N65" t="s">
        <v>290</v>
      </c>
      <c r="O65">
        <v>12</v>
      </c>
      <c r="P65" t="s">
        <v>110</v>
      </c>
      <c r="Q65" t="s">
        <v>300</v>
      </c>
      <c r="R65" s="10" t="s">
        <v>332</v>
      </c>
    </row>
    <row r="66" spans="1:18" x14ac:dyDescent="0.2">
      <c r="A66" t="s">
        <v>44</v>
      </c>
      <c r="B66" t="s">
        <v>45</v>
      </c>
      <c r="C66">
        <v>1</v>
      </c>
      <c r="D66" t="s">
        <v>46</v>
      </c>
      <c r="E66" t="s">
        <v>301</v>
      </c>
      <c r="F66">
        <v>1</v>
      </c>
      <c r="G66">
        <v>0.97435897435897434</v>
      </c>
      <c r="H66">
        <v>3</v>
      </c>
      <c r="I66">
        <v>3</v>
      </c>
      <c r="J66" t="b">
        <v>0</v>
      </c>
      <c r="K66" t="b">
        <v>1</v>
      </c>
      <c r="L66" t="b">
        <v>1</v>
      </c>
      <c r="M66" t="s">
        <v>302</v>
      </c>
      <c r="N66" t="s">
        <v>290</v>
      </c>
      <c r="O66">
        <v>13</v>
      </c>
      <c r="P66" t="s">
        <v>110</v>
      </c>
      <c r="Q66" t="s">
        <v>303</v>
      </c>
      <c r="R66" s="10" t="s">
        <v>332</v>
      </c>
    </row>
    <row r="67" spans="1:18" x14ac:dyDescent="0.2">
      <c r="A67" t="s">
        <v>50</v>
      </c>
      <c r="B67" t="s">
        <v>51</v>
      </c>
      <c r="C67">
        <v>1</v>
      </c>
      <c r="D67" t="s">
        <v>52</v>
      </c>
      <c r="E67" t="s">
        <v>304</v>
      </c>
      <c r="F67">
        <v>1</v>
      </c>
      <c r="G67">
        <v>0.98148148148148151</v>
      </c>
      <c r="H67">
        <v>3</v>
      </c>
      <c r="I67">
        <v>4</v>
      </c>
      <c r="J67" t="b">
        <v>0</v>
      </c>
      <c r="K67" t="b">
        <v>0</v>
      </c>
      <c r="L67" t="b">
        <v>1</v>
      </c>
      <c r="M67" t="s">
        <v>305</v>
      </c>
      <c r="N67" t="s">
        <v>290</v>
      </c>
      <c r="O67">
        <v>14</v>
      </c>
      <c r="P67" t="s">
        <v>110</v>
      </c>
      <c r="Q67" t="s">
        <v>306</v>
      </c>
      <c r="R67" s="10" t="s">
        <v>332</v>
      </c>
    </row>
    <row r="68" spans="1:18" x14ac:dyDescent="0.2">
      <c r="A68" t="s">
        <v>56</v>
      </c>
      <c r="B68" t="s">
        <v>57</v>
      </c>
      <c r="C68">
        <v>1</v>
      </c>
      <c r="D68" t="s">
        <v>58</v>
      </c>
      <c r="E68" t="s">
        <v>307</v>
      </c>
      <c r="F68">
        <v>1</v>
      </c>
      <c r="G68">
        <v>0.97435897435897434</v>
      </c>
      <c r="H68">
        <v>3</v>
      </c>
      <c r="I68">
        <v>4</v>
      </c>
      <c r="J68" t="b">
        <v>0</v>
      </c>
      <c r="K68" t="b">
        <v>0</v>
      </c>
      <c r="L68" t="b">
        <v>1</v>
      </c>
      <c r="M68" t="s">
        <v>308</v>
      </c>
      <c r="N68" t="s">
        <v>290</v>
      </c>
      <c r="O68">
        <v>15</v>
      </c>
      <c r="P68" t="s">
        <v>110</v>
      </c>
      <c r="Q68" t="s">
        <v>309</v>
      </c>
      <c r="R68" s="10" t="s">
        <v>332</v>
      </c>
    </row>
    <row r="69" spans="1:18" x14ac:dyDescent="0.2">
      <c r="A69" t="s">
        <v>62</v>
      </c>
      <c r="B69" t="s">
        <v>63</v>
      </c>
      <c r="C69">
        <v>1</v>
      </c>
      <c r="D69" t="s">
        <v>64</v>
      </c>
      <c r="E69" t="s">
        <v>310</v>
      </c>
      <c r="F69">
        <v>1</v>
      </c>
      <c r="G69">
        <v>0.98181818181818181</v>
      </c>
      <c r="H69">
        <v>4</v>
      </c>
      <c r="I69">
        <v>4</v>
      </c>
      <c r="J69" t="b">
        <v>0</v>
      </c>
      <c r="K69" t="b">
        <v>0</v>
      </c>
      <c r="L69" t="b">
        <v>1</v>
      </c>
      <c r="M69" t="s">
        <v>311</v>
      </c>
      <c r="N69" t="s">
        <v>290</v>
      </c>
      <c r="O69">
        <v>16</v>
      </c>
      <c r="P69" t="s">
        <v>110</v>
      </c>
      <c r="Q69" t="s">
        <v>312</v>
      </c>
      <c r="R69" s="10" t="s">
        <v>332</v>
      </c>
    </row>
    <row r="70" spans="1:18" x14ac:dyDescent="0.2">
      <c r="A70" t="s">
        <v>68</v>
      </c>
      <c r="B70" t="s">
        <v>69</v>
      </c>
      <c r="C70">
        <v>2</v>
      </c>
      <c r="D70" t="s">
        <v>70</v>
      </c>
      <c r="E70" t="s">
        <v>313</v>
      </c>
      <c r="F70">
        <v>1</v>
      </c>
      <c r="G70">
        <v>0.97530864197530864</v>
      </c>
      <c r="H70">
        <v>3</v>
      </c>
      <c r="I70">
        <v>3</v>
      </c>
      <c r="J70" t="b">
        <v>0</v>
      </c>
      <c r="K70" t="b">
        <v>1</v>
      </c>
      <c r="L70" t="b">
        <v>1</v>
      </c>
      <c r="M70" t="s">
        <v>314</v>
      </c>
      <c r="N70" t="s">
        <v>290</v>
      </c>
      <c r="O70">
        <v>17</v>
      </c>
      <c r="P70" t="s">
        <v>110</v>
      </c>
      <c r="Q70" t="s">
        <v>315</v>
      </c>
      <c r="R70" s="10" t="s">
        <v>332</v>
      </c>
    </row>
    <row r="71" spans="1:18" x14ac:dyDescent="0.2">
      <c r="A71" t="s">
        <v>74</v>
      </c>
      <c r="B71" t="s">
        <v>69</v>
      </c>
      <c r="C71">
        <v>2</v>
      </c>
      <c r="D71" t="s">
        <v>75</v>
      </c>
      <c r="E71" t="s">
        <v>316</v>
      </c>
      <c r="F71">
        <v>1</v>
      </c>
      <c r="G71">
        <v>0.97530864197530864</v>
      </c>
      <c r="H71">
        <v>3</v>
      </c>
      <c r="I71">
        <v>3</v>
      </c>
      <c r="J71" t="b">
        <v>0</v>
      </c>
      <c r="K71" t="b">
        <v>1</v>
      </c>
      <c r="L71" t="b">
        <v>1</v>
      </c>
      <c r="M71" t="s">
        <v>317</v>
      </c>
      <c r="N71" t="s">
        <v>290</v>
      </c>
      <c r="O71">
        <v>18</v>
      </c>
      <c r="P71" t="s">
        <v>110</v>
      </c>
      <c r="Q71" t="s">
        <v>318</v>
      </c>
      <c r="R71" s="10" t="s">
        <v>332</v>
      </c>
    </row>
    <row r="72" spans="1:18" x14ac:dyDescent="0.2">
      <c r="A72" t="s">
        <v>79</v>
      </c>
      <c r="B72" t="s">
        <v>80</v>
      </c>
      <c r="C72">
        <v>2</v>
      </c>
      <c r="D72" t="s">
        <v>81</v>
      </c>
      <c r="E72" t="s">
        <v>319</v>
      </c>
      <c r="F72">
        <v>1</v>
      </c>
      <c r="G72">
        <v>0.97619047619047616</v>
      </c>
      <c r="H72">
        <v>3</v>
      </c>
      <c r="I72">
        <v>4</v>
      </c>
      <c r="J72" t="b">
        <v>0</v>
      </c>
      <c r="K72" t="b">
        <v>0</v>
      </c>
      <c r="L72" t="b">
        <v>1</v>
      </c>
      <c r="M72" t="s">
        <v>320</v>
      </c>
      <c r="N72" t="s">
        <v>290</v>
      </c>
      <c r="O72">
        <v>19</v>
      </c>
      <c r="P72" t="s">
        <v>110</v>
      </c>
      <c r="Q72" t="s">
        <v>321</v>
      </c>
      <c r="R72" s="10" t="s">
        <v>332</v>
      </c>
    </row>
    <row r="73" spans="1:18" x14ac:dyDescent="0.2">
      <c r="A73" t="s">
        <v>85</v>
      </c>
      <c r="B73" t="s">
        <v>86</v>
      </c>
      <c r="C73">
        <v>2</v>
      </c>
      <c r="D73" t="s">
        <v>87</v>
      </c>
      <c r="E73" t="s">
        <v>322</v>
      </c>
      <c r="F73">
        <v>1</v>
      </c>
      <c r="G73">
        <v>0.98113207547169812</v>
      </c>
      <c r="H73">
        <v>3</v>
      </c>
      <c r="I73">
        <v>3</v>
      </c>
      <c r="J73" t="b">
        <v>0</v>
      </c>
      <c r="K73" t="b">
        <v>1</v>
      </c>
      <c r="L73" t="b">
        <v>1</v>
      </c>
      <c r="M73" t="s">
        <v>323</v>
      </c>
      <c r="N73" t="s">
        <v>290</v>
      </c>
      <c r="O73">
        <v>20</v>
      </c>
      <c r="P73" t="s">
        <v>110</v>
      </c>
      <c r="Q73" t="s">
        <v>324</v>
      </c>
      <c r="R73" s="10" t="s">
        <v>332</v>
      </c>
    </row>
    <row r="74" spans="1:18" x14ac:dyDescent="0.2">
      <c r="A74" t="s">
        <v>91</v>
      </c>
      <c r="B74" t="s">
        <v>92</v>
      </c>
      <c r="C74">
        <v>0</v>
      </c>
      <c r="D74" t="s">
        <v>93</v>
      </c>
      <c r="E74" t="s">
        <v>99</v>
      </c>
      <c r="F74">
        <v>0</v>
      </c>
      <c r="G74">
        <v>1</v>
      </c>
      <c r="H74">
        <v>3</v>
      </c>
      <c r="I74">
        <v>1</v>
      </c>
      <c r="J74" t="b">
        <v>0</v>
      </c>
      <c r="K74" t="b">
        <v>1</v>
      </c>
      <c r="L74" t="b">
        <v>1</v>
      </c>
      <c r="M74" t="s">
        <v>325</v>
      </c>
      <c r="N74" t="s">
        <v>290</v>
      </c>
      <c r="O74">
        <v>21</v>
      </c>
      <c r="P74" t="s">
        <v>110</v>
      </c>
      <c r="Q74" t="s">
        <v>326</v>
      </c>
      <c r="R74" s="10" t="s">
        <v>332</v>
      </c>
    </row>
    <row r="75" spans="1:18" x14ac:dyDescent="0.2">
      <c r="A75" t="s">
        <v>97</v>
      </c>
      <c r="B75" t="s">
        <v>92</v>
      </c>
      <c r="C75">
        <v>0</v>
      </c>
      <c r="D75" t="s">
        <v>98</v>
      </c>
      <c r="E75" t="s">
        <v>99</v>
      </c>
      <c r="F75">
        <v>0</v>
      </c>
      <c r="G75">
        <v>1</v>
      </c>
      <c r="H75">
        <v>3</v>
      </c>
      <c r="I75">
        <v>1</v>
      </c>
      <c r="J75" t="b">
        <v>0</v>
      </c>
      <c r="K75" t="b">
        <v>1</v>
      </c>
      <c r="L75" t="b">
        <v>0</v>
      </c>
      <c r="M75" t="s">
        <v>327</v>
      </c>
      <c r="N75" t="s">
        <v>290</v>
      </c>
      <c r="O75">
        <v>22</v>
      </c>
      <c r="P75" t="s">
        <v>110</v>
      </c>
      <c r="Q75" t="s">
        <v>328</v>
      </c>
      <c r="R75" s="10" t="s">
        <v>332</v>
      </c>
    </row>
    <row r="76" spans="1:18" x14ac:dyDescent="0.2">
      <c r="A76" t="s">
        <v>102</v>
      </c>
      <c r="B76" t="s">
        <v>57</v>
      </c>
      <c r="C76">
        <v>1</v>
      </c>
      <c r="D76" t="s">
        <v>103</v>
      </c>
      <c r="E76" t="s">
        <v>329</v>
      </c>
      <c r="F76">
        <v>1</v>
      </c>
      <c r="G76">
        <v>0.97435897435897434</v>
      </c>
      <c r="H76">
        <v>4</v>
      </c>
      <c r="I76">
        <v>4</v>
      </c>
      <c r="J76" t="b">
        <v>0</v>
      </c>
      <c r="K76" t="b">
        <v>0</v>
      </c>
      <c r="L76" t="b">
        <v>1</v>
      </c>
      <c r="M76" t="s">
        <v>330</v>
      </c>
      <c r="N76" t="s">
        <v>290</v>
      </c>
      <c r="O76">
        <v>23</v>
      </c>
      <c r="P76" t="s">
        <v>110</v>
      </c>
      <c r="Q76" t="s">
        <v>331</v>
      </c>
      <c r="R76" s="10" t="s">
        <v>332</v>
      </c>
    </row>
    <row r="77" spans="1:18" x14ac:dyDescent="0.2">
      <c r="A77" t="s">
        <v>18</v>
      </c>
      <c r="B77" t="s">
        <v>19</v>
      </c>
      <c r="C77">
        <v>1</v>
      </c>
      <c r="D77" t="s">
        <v>20</v>
      </c>
      <c r="E77" t="s">
        <v>333</v>
      </c>
      <c r="F77">
        <v>1</v>
      </c>
      <c r="G77">
        <v>0</v>
      </c>
      <c r="H77">
        <v>4</v>
      </c>
      <c r="I77">
        <v>4</v>
      </c>
      <c r="J77" t="b">
        <v>0</v>
      </c>
      <c r="K77" t="b">
        <v>0</v>
      </c>
      <c r="L77" t="b">
        <v>1</v>
      </c>
      <c r="M77" t="s">
        <v>334</v>
      </c>
      <c r="N77" t="s">
        <v>335</v>
      </c>
      <c r="O77">
        <v>8</v>
      </c>
      <c r="P77" t="s">
        <v>110</v>
      </c>
      <c r="Q77" t="s">
        <v>336</v>
      </c>
      <c r="R77" s="10" t="s">
        <v>26</v>
      </c>
    </row>
    <row r="78" spans="1:18" x14ac:dyDescent="0.2">
      <c r="A78" t="s">
        <v>27</v>
      </c>
      <c r="B78" t="s">
        <v>28</v>
      </c>
      <c r="C78">
        <v>1</v>
      </c>
      <c r="D78" t="s">
        <v>29</v>
      </c>
      <c r="E78" t="s">
        <v>337</v>
      </c>
      <c r="F78">
        <v>1</v>
      </c>
      <c r="G78">
        <v>0.98148148148148151</v>
      </c>
      <c r="H78">
        <v>4</v>
      </c>
      <c r="I78">
        <v>4</v>
      </c>
      <c r="J78" t="b">
        <v>0</v>
      </c>
      <c r="K78" t="b">
        <v>0</v>
      </c>
      <c r="L78" t="b">
        <v>1</v>
      </c>
      <c r="M78" t="s">
        <v>338</v>
      </c>
      <c r="N78" t="s">
        <v>335</v>
      </c>
      <c r="O78">
        <v>9</v>
      </c>
      <c r="P78" t="s">
        <v>110</v>
      </c>
      <c r="Q78" t="s">
        <v>339</v>
      </c>
      <c r="R78" s="10" t="s">
        <v>26</v>
      </c>
    </row>
    <row r="79" spans="1:18" x14ac:dyDescent="0.2">
      <c r="A79" t="s">
        <v>33</v>
      </c>
      <c r="B79" t="s">
        <v>28</v>
      </c>
      <c r="C79">
        <v>1</v>
      </c>
      <c r="D79" t="s">
        <v>34</v>
      </c>
      <c r="E79" t="s">
        <v>340</v>
      </c>
      <c r="F79">
        <v>1</v>
      </c>
      <c r="G79">
        <v>0.98148148148148151</v>
      </c>
      <c r="H79">
        <v>4</v>
      </c>
      <c r="I79">
        <v>4</v>
      </c>
      <c r="J79" t="b">
        <v>0</v>
      </c>
      <c r="K79" t="b">
        <v>0</v>
      </c>
      <c r="L79" t="b">
        <v>1</v>
      </c>
      <c r="M79" t="s">
        <v>341</v>
      </c>
      <c r="N79" t="s">
        <v>335</v>
      </c>
      <c r="O79">
        <v>11</v>
      </c>
      <c r="P79" t="s">
        <v>110</v>
      </c>
      <c r="Q79" t="s">
        <v>342</v>
      </c>
      <c r="R79" s="10" t="s">
        <v>26</v>
      </c>
    </row>
    <row r="80" spans="1:18" x14ac:dyDescent="0.2">
      <c r="A80" t="s">
        <v>38</v>
      </c>
      <c r="B80" t="s">
        <v>39</v>
      </c>
      <c r="C80">
        <v>1</v>
      </c>
      <c r="D80" t="s">
        <v>40</v>
      </c>
      <c r="E80" t="s">
        <v>343</v>
      </c>
      <c r="F80">
        <v>1</v>
      </c>
      <c r="G80">
        <v>0.97959183673469385</v>
      </c>
      <c r="H80">
        <v>5</v>
      </c>
      <c r="I80">
        <v>5</v>
      </c>
      <c r="J80" t="b">
        <v>0</v>
      </c>
      <c r="K80" t="b">
        <v>0</v>
      </c>
      <c r="L80" t="b">
        <v>0</v>
      </c>
      <c r="M80" t="s">
        <v>344</v>
      </c>
      <c r="N80" t="s">
        <v>335</v>
      </c>
      <c r="O80">
        <v>12</v>
      </c>
      <c r="P80" t="s">
        <v>110</v>
      </c>
      <c r="Q80" t="s">
        <v>345</v>
      </c>
      <c r="R80" s="10" t="s">
        <v>26</v>
      </c>
    </row>
    <row r="81" spans="1:18" x14ac:dyDescent="0.2">
      <c r="A81" t="s">
        <v>44</v>
      </c>
      <c r="B81" t="s">
        <v>45</v>
      </c>
      <c r="C81">
        <v>1</v>
      </c>
      <c r="D81" t="s">
        <v>46</v>
      </c>
      <c r="E81" t="s">
        <v>346</v>
      </c>
      <c r="F81">
        <v>1</v>
      </c>
      <c r="G81">
        <v>0.97435897435897434</v>
      </c>
      <c r="H81">
        <v>3</v>
      </c>
      <c r="I81">
        <v>3</v>
      </c>
      <c r="J81" t="b">
        <v>0</v>
      </c>
      <c r="K81" t="b">
        <v>1</v>
      </c>
      <c r="L81" t="b">
        <v>1</v>
      </c>
      <c r="M81" t="s">
        <v>347</v>
      </c>
      <c r="N81" t="s">
        <v>335</v>
      </c>
      <c r="O81">
        <v>13</v>
      </c>
      <c r="P81" t="s">
        <v>110</v>
      </c>
      <c r="Q81" t="s">
        <v>348</v>
      </c>
      <c r="R81" s="10" t="s">
        <v>26</v>
      </c>
    </row>
    <row r="82" spans="1:18" x14ac:dyDescent="0.2">
      <c r="A82" t="s">
        <v>50</v>
      </c>
      <c r="B82" t="s">
        <v>51</v>
      </c>
      <c r="C82">
        <v>1</v>
      </c>
      <c r="D82" t="s">
        <v>52</v>
      </c>
      <c r="E82" t="s">
        <v>349</v>
      </c>
      <c r="F82">
        <v>1</v>
      </c>
      <c r="G82">
        <v>0.98148148148148151</v>
      </c>
      <c r="H82">
        <v>3</v>
      </c>
      <c r="I82">
        <v>2</v>
      </c>
      <c r="J82" t="b">
        <v>0</v>
      </c>
      <c r="K82" t="b">
        <v>1</v>
      </c>
      <c r="L82" t="b">
        <v>1</v>
      </c>
      <c r="M82" t="s">
        <v>350</v>
      </c>
      <c r="N82" t="s">
        <v>335</v>
      </c>
      <c r="O82">
        <v>14</v>
      </c>
      <c r="P82" t="s">
        <v>110</v>
      </c>
      <c r="Q82" t="s">
        <v>351</v>
      </c>
      <c r="R82" s="10" t="s">
        <v>26</v>
      </c>
    </row>
    <row r="83" spans="1:18" x14ac:dyDescent="0.2">
      <c r="A83" t="s">
        <v>56</v>
      </c>
      <c r="B83" t="s">
        <v>57</v>
      </c>
      <c r="C83">
        <v>1</v>
      </c>
      <c r="D83" t="s">
        <v>58</v>
      </c>
      <c r="E83" t="s">
        <v>352</v>
      </c>
      <c r="F83">
        <v>0</v>
      </c>
      <c r="G83">
        <v>0.45238095238095233</v>
      </c>
      <c r="H83">
        <v>4</v>
      </c>
      <c r="I83">
        <v>4</v>
      </c>
      <c r="J83" t="b">
        <v>0</v>
      </c>
      <c r="K83" t="b">
        <v>0</v>
      </c>
      <c r="L83" t="b">
        <v>1</v>
      </c>
      <c r="M83" t="s">
        <v>353</v>
      </c>
      <c r="N83" t="s">
        <v>335</v>
      </c>
      <c r="O83">
        <v>15</v>
      </c>
      <c r="P83" t="s">
        <v>110</v>
      </c>
      <c r="Q83" t="s">
        <v>354</v>
      </c>
      <c r="R83" s="10" t="s">
        <v>26</v>
      </c>
    </row>
    <row r="84" spans="1:18" x14ac:dyDescent="0.2">
      <c r="A84" t="s">
        <v>62</v>
      </c>
      <c r="B84" t="s">
        <v>63</v>
      </c>
      <c r="C84">
        <v>1</v>
      </c>
      <c r="D84" t="s">
        <v>64</v>
      </c>
      <c r="E84" t="s">
        <v>355</v>
      </c>
      <c r="F84">
        <v>1</v>
      </c>
      <c r="G84">
        <v>0.98181818181818181</v>
      </c>
      <c r="H84">
        <v>2</v>
      </c>
      <c r="I84">
        <v>4</v>
      </c>
      <c r="J84" t="b">
        <v>0</v>
      </c>
      <c r="K84" t="b">
        <v>0</v>
      </c>
      <c r="L84" t="b">
        <v>1</v>
      </c>
      <c r="M84" t="s">
        <v>356</v>
      </c>
      <c r="N84" t="s">
        <v>335</v>
      </c>
      <c r="O84">
        <v>16</v>
      </c>
      <c r="P84" t="s">
        <v>110</v>
      </c>
      <c r="Q84" t="s">
        <v>357</v>
      </c>
      <c r="R84" s="10" t="s">
        <v>26</v>
      </c>
    </row>
    <row r="85" spans="1:18" x14ac:dyDescent="0.2">
      <c r="A85" t="s">
        <v>68</v>
      </c>
      <c r="B85" t="s">
        <v>69</v>
      </c>
      <c r="C85">
        <v>2</v>
      </c>
      <c r="D85" t="s">
        <v>70</v>
      </c>
      <c r="E85" t="s">
        <v>358</v>
      </c>
      <c r="F85">
        <v>1</v>
      </c>
      <c r="G85">
        <v>0.97530864197530864</v>
      </c>
      <c r="H85">
        <v>3</v>
      </c>
      <c r="I85">
        <v>3</v>
      </c>
      <c r="J85" t="b">
        <v>0</v>
      </c>
      <c r="K85" t="b">
        <v>1</v>
      </c>
      <c r="L85" t="b">
        <v>0</v>
      </c>
      <c r="M85" t="s">
        <v>359</v>
      </c>
      <c r="N85" t="s">
        <v>335</v>
      </c>
      <c r="O85">
        <v>17</v>
      </c>
      <c r="P85" t="s">
        <v>110</v>
      </c>
      <c r="Q85" t="s">
        <v>360</v>
      </c>
      <c r="R85" s="10" t="s">
        <v>26</v>
      </c>
    </row>
    <row r="86" spans="1:18" x14ac:dyDescent="0.2">
      <c r="A86" t="s">
        <v>74</v>
      </c>
      <c r="B86" t="s">
        <v>69</v>
      </c>
      <c r="C86">
        <v>2</v>
      </c>
      <c r="D86" t="s">
        <v>75</v>
      </c>
      <c r="E86" t="s">
        <v>361</v>
      </c>
      <c r="F86">
        <v>1</v>
      </c>
      <c r="G86">
        <v>0.97530864197530864</v>
      </c>
      <c r="H86">
        <v>3</v>
      </c>
      <c r="I86">
        <v>3</v>
      </c>
      <c r="J86" t="b">
        <v>0</v>
      </c>
      <c r="K86" t="b">
        <v>1</v>
      </c>
      <c r="L86" t="b">
        <v>0</v>
      </c>
      <c r="M86" t="s">
        <v>362</v>
      </c>
      <c r="N86" t="s">
        <v>335</v>
      </c>
      <c r="O86">
        <v>18</v>
      </c>
      <c r="P86" t="s">
        <v>110</v>
      </c>
      <c r="Q86" t="s">
        <v>363</v>
      </c>
      <c r="R86" s="10" t="s">
        <v>26</v>
      </c>
    </row>
    <row r="87" spans="1:18" x14ac:dyDescent="0.2">
      <c r="A87" t="s">
        <v>79</v>
      </c>
      <c r="B87" t="s">
        <v>80</v>
      </c>
      <c r="C87">
        <v>2</v>
      </c>
      <c r="D87" t="s">
        <v>81</v>
      </c>
      <c r="E87" t="s">
        <v>364</v>
      </c>
      <c r="F87">
        <v>1</v>
      </c>
      <c r="G87">
        <v>0.97619047619047616</v>
      </c>
      <c r="H87">
        <v>3</v>
      </c>
      <c r="I87">
        <v>3</v>
      </c>
      <c r="J87" t="b">
        <v>0</v>
      </c>
      <c r="K87" t="b">
        <v>1</v>
      </c>
      <c r="L87" t="b">
        <v>1</v>
      </c>
      <c r="M87" t="s">
        <v>365</v>
      </c>
      <c r="N87" t="s">
        <v>335</v>
      </c>
      <c r="O87">
        <v>19</v>
      </c>
      <c r="P87" t="s">
        <v>110</v>
      </c>
      <c r="Q87" t="s">
        <v>366</v>
      </c>
      <c r="R87" s="10" t="s">
        <v>26</v>
      </c>
    </row>
    <row r="88" spans="1:18" x14ac:dyDescent="0.2">
      <c r="A88" t="s">
        <v>85</v>
      </c>
      <c r="B88" t="s">
        <v>86</v>
      </c>
      <c r="C88">
        <v>2</v>
      </c>
      <c r="D88" t="s">
        <v>87</v>
      </c>
      <c r="E88" t="s">
        <v>367</v>
      </c>
      <c r="F88">
        <v>1</v>
      </c>
      <c r="G88">
        <v>0.98113207547169812</v>
      </c>
      <c r="H88">
        <v>3</v>
      </c>
      <c r="I88">
        <v>3</v>
      </c>
      <c r="J88" t="b">
        <v>0</v>
      </c>
      <c r="K88" t="b">
        <v>1</v>
      </c>
      <c r="L88" t="b">
        <v>0</v>
      </c>
      <c r="M88" t="s">
        <v>368</v>
      </c>
      <c r="N88" t="s">
        <v>335</v>
      </c>
      <c r="O88">
        <v>20</v>
      </c>
      <c r="P88" t="s">
        <v>110</v>
      </c>
      <c r="Q88" t="s">
        <v>369</v>
      </c>
      <c r="R88" s="10" t="s">
        <v>26</v>
      </c>
    </row>
    <row r="89" spans="1:18" x14ac:dyDescent="0.2">
      <c r="A89" t="s">
        <v>91</v>
      </c>
      <c r="B89" t="s">
        <v>92</v>
      </c>
      <c r="C89">
        <v>0</v>
      </c>
      <c r="D89" t="s">
        <v>93</v>
      </c>
      <c r="E89" t="s">
        <v>370</v>
      </c>
      <c r="F89">
        <v>0</v>
      </c>
      <c r="G89">
        <v>0</v>
      </c>
      <c r="H89">
        <v>2</v>
      </c>
      <c r="I89">
        <v>1</v>
      </c>
      <c r="J89" t="b">
        <v>1</v>
      </c>
      <c r="K89" t="b">
        <v>0</v>
      </c>
      <c r="L89" t="b">
        <v>1</v>
      </c>
      <c r="M89" t="s">
        <v>371</v>
      </c>
      <c r="N89" t="s">
        <v>335</v>
      </c>
      <c r="O89">
        <v>21</v>
      </c>
      <c r="P89" t="s">
        <v>110</v>
      </c>
      <c r="Q89" t="s">
        <v>372</v>
      </c>
      <c r="R89" s="10" t="s">
        <v>26</v>
      </c>
    </row>
    <row r="90" spans="1:18" x14ac:dyDescent="0.2">
      <c r="A90" t="s">
        <v>97</v>
      </c>
      <c r="B90" t="s">
        <v>92</v>
      </c>
      <c r="C90">
        <v>0</v>
      </c>
      <c r="D90" t="s">
        <v>98</v>
      </c>
      <c r="E90" t="s">
        <v>99</v>
      </c>
      <c r="F90">
        <v>0</v>
      </c>
      <c r="G90">
        <v>1</v>
      </c>
      <c r="H90">
        <v>3</v>
      </c>
      <c r="I90">
        <v>1</v>
      </c>
      <c r="J90" t="b">
        <v>0</v>
      </c>
      <c r="K90" t="b">
        <v>1</v>
      </c>
      <c r="L90" t="b">
        <v>0</v>
      </c>
      <c r="M90" t="s">
        <v>373</v>
      </c>
      <c r="N90" t="s">
        <v>335</v>
      </c>
      <c r="O90">
        <v>22</v>
      </c>
      <c r="P90" t="s">
        <v>110</v>
      </c>
      <c r="Q90" t="s">
        <v>374</v>
      </c>
      <c r="R90" s="10" t="s">
        <v>26</v>
      </c>
    </row>
    <row r="91" spans="1:18" x14ac:dyDescent="0.2">
      <c r="A91" t="s">
        <v>102</v>
      </c>
      <c r="B91" t="s">
        <v>57</v>
      </c>
      <c r="C91">
        <v>1</v>
      </c>
      <c r="D91" t="s">
        <v>103</v>
      </c>
      <c r="E91" t="s">
        <v>375</v>
      </c>
      <c r="F91">
        <v>1</v>
      </c>
      <c r="G91">
        <v>0.97435897435897434</v>
      </c>
      <c r="H91">
        <v>4</v>
      </c>
      <c r="I91">
        <v>4</v>
      </c>
      <c r="J91" t="b">
        <v>0</v>
      </c>
      <c r="K91" t="b">
        <v>0</v>
      </c>
      <c r="L91" t="b">
        <v>1</v>
      </c>
      <c r="M91" t="s">
        <v>376</v>
      </c>
      <c r="N91" t="s">
        <v>335</v>
      </c>
      <c r="O91">
        <v>23</v>
      </c>
      <c r="P91" t="s">
        <v>110</v>
      </c>
      <c r="Q91" t="s">
        <v>377</v>
      </c>
      <c r="R91" s="10" t="s">
        <v>26</v>
      </c>
    </row>
    <row r="92" spans="1:18" x14ac:dyDescent="0.2">
      <c r="A92" t="s">
        <v>18</v>
      </c>
      <c r="B92" t="s">
        <v>19</v>
      </c>
      <c r="C92">
        <v>1</v>
      </c>
      <c r="D92" t="s">
        <v>20</v>
      </c>
      <c r="E92" t="s">
        <v>378</v>
      </c>
      <c r="F92">
        <v>1</v>
      </c>
      <c r="G92">
        <v>0</v>
      </c>
      <c r="H92" s="37">
        <v>1</v>
      </c>
      <c r="I92">
        <v>1</v>
      </c>
      <c r="J92" t="b">
        <v>0</v>
      </c>
      <c r="K92" t="b">
        <v>1</v>
      </c>
      <c r="L92" t="b">
        <v>1</v>
      </c>
      <c r="M92" t="s">
        <v>379</v>
      </c>
      <c r="N92" t="s">
        <v>380</v>
      </c>
      <c r="O92">
        <v>8</v>
      </c>
      <c r="P92" t="s">
        <v>110</v>
      </c>
      <c r="Q92" t="s">
        <v>381</v>
      </c>
      <c r="R92" s="10" t="s">
        <v>424</v>
      </c>
    </row>
    <row r="93" spans="1:18" x14ac:dyDescent="0.2">
      <c r="A93" t="s">
        <v>27</v>
      </c>
      <c r="B93" t="s">
        <v>28</v>
      </c>
      <c r="C93">
        <v>1</v>
      </c>
      <c r="D93" t="s">
        <v>29</v>
      </c>
      <c r="E93" t="s">
        <v>382</v>
      </c>
      <c r="F93">
        <v>1</v>
      </c>
      <c r="G93">
        <v>0</v>
      </c>
      <c r="H93" s="37">
        <v>4</v>
      </c>
      <c r="I93">
        <v>4</v>
      </c>
      <c r="J93" t="b">
        <v>0</v>
      </c>
      <c r="K93" t="b">
        <v>0</v>
      </c>
      <c r="L93" t="b">
        <v>1</v>
      </c>
      <c r="M93" t="s">
        <v>383</v>
      </c>
      <c r="N93" t="s">
        <v>380</v>
      </c>
      <c r="O93">
        <v>9</v>
      </c>
      <c r="P93" t="s">
        <v>110</v>
      </c>
      <c r="Q93" t="s">
        <v>384</v>
      </c>
      <c r="R93" s="10" t="s">
        <v>424</v>
      </c>
    </row>
    <row r="94" spans="1:18" x14ac:dyDescent="0.2">
      <c r="A94" t="s">
        <v>33</v>
      </c>
      <c r="B94" t="s">
        <v>28</v>
      </c>
      <c r="C94">
        <v>1</v>
      </c>
      <c r="D94" t="s">
        <v>34</v>
      </c>
      <c r="E94" t="s">
        <v>385</v>
      </c>
      <c r="F94">
        <v>1</v>
      </c>
      <c r="G94">
        <v>0</v>
      </c>
      <c r="H94" s="37">
        <v>5</v>
      </c>
      <c r="I94">
        <v>4</v>
      </c>
      <c r="J94" t="b">
        <v>0</v>
      </c>
      <c r="K94" t="b">
        <v>0</v>
      </c>
      <c r="L94" t="b">
        <v>1</v>
      </c>
      <c r="M94" t="s">
        <v>386</v>
      </c>
      <c r="N94" t="s">
        <v>380</v>
      </c>
      <c r="O94">
        <v>11</v>
      </c>
      <c r="P94" t="s">
        <v>110</v>
      </c>
      <c r="Q94" t="s">
        <v>387</v>
      </c>
      <c r="R94" s="10" t="s">
        <v>424</v>
      </c>
    </row>
    <row r="95" spans="1:18" x14ac:dyDescent="0.2">
      <c r="A95" t="s">
        <v>38</v>
      </c>
      <c r="B95" t="s">
        <v>39</v>
      </c>
      <c r="C95">
        <v>1</v>
      </c>
      <c r="D95" t="s">
        <v>40</v>
      </c>
      <c r="E95" t="s">
        <v>388</v>
      </c>
      <c r="F95">
        <v>1</v>
      </c>
      <c r="G95">
        <v>0</v>
      </c>
      <c r="H95" s="37">
        <v>5</v>
      </c>
      <c r="I95">
        <v>5</v>
      </c>
      <c r="J95" t="b">
        <v>0</v>
      </c>
      <c r="K95" t="b">
        <v>0</v>
      </c>
      <c r="L95" t="b">
        <v>0</v>
      </c>
      <c r="M95" t="s">
        <v>389</v>
      </c>
      <c r="N95" t="s">
        <v>380</v>
      </c>
      <c r="O95">
        <v>12</v>
      </c>
      <c r="P95" t="s">
        <v>110</v>
      </c>
      <c r="Q95" t="s">
        <v>390</v>
      </c>
      <c r="R95" s="10" t="s">
        <v>424</v>
      </c>
    </row>
    <row r="96" spans="1:18" x14ac:dyDescent="0.2">
      <c r="A96" t="s">
        <v>44</v>
      </c>
      <c r="B96" t="s">
        <v>45</v>
      </c>
      <c r="C96">
        <v>1</v>
      </c>
      <c r="D96" t="s">
        <v>46</v>
      </c>
      <c r="E96" t="s">
        <v>391</v>
      </c>
      <c r="F96">
        <v>1</v>
      </c>
      <c r="G96">
        <v>0.97435897435897434</v>
      </c>
      <c r="H96" s="37">
        <v>3</v>
      </c>
      <c r="I96">
        <v>3</v>
      </c>
      <c r="J96" t="b">
        <v>0</v>
      </c>
      <c r="K96" t="b">
        <v>1</v>
      </c>
      <c r="L96" t="b">
        <v>1</v>
      </c>
      <c r="M96" t="s">
        <v>392</v>
      </c>
      <c r="N96" t="s">
        <v>380</v>
      </c>
      <c r="O96">
        <v>13</v>
      </c>
      <c r="P96" t="s">
        <v>110</v>
      </c>
      <c r="Q96" t="s">
        <v>393</v>
      </c>
      <c r="R96" s="10" t="s">
        <v>424</v>
      </c>
    </row>
    <row r="97" spans="1:18" x14ac:dyDescent="0.2">
      <c r="A97" t="s">
        <v>50</v>
      </c>
      <c r="B97" t="s">
        <v>51</v>
      </c>
      <c r="C97">
        <v>1</v>
      </c>
      <c r="D97" t="s">
        <v>52</v>
      </c>
      <c r="E97" t="s">
        <v>394</v>
      </c>
      <c r="F97">
        <v>1</v>
      </c>
      <c r="G97">
        <v>0</v>
      </c>
      <c r="H97" s="37">
        <v>1</v>
      </c>
      <c r="I97">
        <v>1</v>
      </c>
      <c r="J97" t="b">
        <v>0</v>
      </c>
      <c r="K97" t="b">
        <v>1</v>
      </c>
      <c r="L97" t="b">
        <v>1</v>
      </c>
      <c r="M97" t="s">
        <v>395</v>
      </c>
      <c r="N97" t="s">
        <v>380</v>
      </c>
      <c r="O97">
        <v>14</v>
      </c>
      <c r="P97" t="s">
        <v>110</v>
      </c>
      <c r="Q97" t="s">
        <v>396</v>
      </c>
      <c r="R97" s="10" t="s">
        <v>424</v>
      </c>
    </row>
    <row r="98" spans="1:18" x14ac:dyDescent="0.2">
      <c r="A98" t="s">
        <v>56</v>
      </c>
      <c r="B98" t="s">
        <v>57</v>
      </c>
      <c r="C98">
        <v>1</v>
      </c>
      <c r="D98" t="s">
        <v>58</v>
      </c>
      <c r="E98" t="s">
        <v>397</v>
      </c>
      <c r="F98">
        <v>1</v>
      </c>
      <c r="G98">
        <v>0</v>
      </c>
      <c r="H98" s="37">
        <v>2</v>
      </c>
      <c r="I98">
        <v>1</v>
      </c>
      <c r="J98" t="b">
        <v>1</v>
      </c>
      <c r="K98" t="b">
        <v>1</v>
      </c>
      <c r="L98" t="b">
        <v>0</v>
      </c>
      <c r="M98" t="s">
        <v>398</v>
      </c>
      <c r="N98" t="s">
        <v>380</v>
      </c>
      <c r="O98">
        <v>15</v>
      </c>
      <c r="P98" t="s">
        <v>110</v>
      </c>
      <c r="Q98" t="s">
        <v>399</v>
      </c>
      <c r="R98" s="10" t="s">
        <v>424</v>
      </c>
    </row>
    <row r="99" spans="1:18" x14ac:dyDescent="0.2">
      <c r="A99" t="s">
        <v>62</v>
      </c>
      <c r="B99" t="s">
        <v>63</v>
      </c>
      <c r="C99">
        <v>1</v>
      </c>
      <c r="D99" t="s">
        <v>64</v>
      </c>
      <c r="E99" t="s">
        <v>400</v>
      </c>
      <c r="F99">
        <v>1</v>
      </c>
      <c r="G99">
        <v>0.98181818181818181</v>
      </c>
      <c r="H99" s="37">
        <v>3</v>
      </c>
      <c r="I99">
        <v>3</v>
      </c>
      <c r="J99" t="b">
        <v>0</v>
      </c>
      <c r="K99" t="b">
        <v>1</v>
      </c>
      <c r="L99" t="b">
        <v>0</v>
      </c>
      <c r="M99" t="s">
        <v>401</v>
      </c>
      <c r="N99" t="s">
        <v>380</v>
      </c>
      <c r="O99">
        <v>16</v>
      </c>
      <c r="P99" t="s">
        <v>110</v>
      </c>
      <c r="Q99" t="s">
        <v>402</v>
      </c>
      <c r="R99" s="10" t="s">
        <v>424</v>
      </c>
    </row>
    <row r="100" spans="1:18" x14ac:dyDescent="0.2">
      <c r="A100" t="s">
        <v>68</v>
      </c>
      <c r="B100" t="s">
        <v>69</v>
      </c>
      <c r="C100">
        <v>2</v>
      </c>
      <c r="D100" t="s">
        <v>70</v>
      </c>
      <c r="E100" t="s">
        <v>403</v>
      </c>
      <c r="F100">
        <v>0</v>
      </c>
      <c r="G100">
        <v>0.46913580246913578</v>
      </c>
      <c r="H100" s="37">
        <v>3</v>
      </c>
      <c r="I100">
        <v>3</v>
      </c>
      <c r="J100" t="b">
        <v>0</v>
      </c>
      <c r="K100" t="b">
        <v>1</v>
      </c>
      <c r="L100" t="b">
        <v>0</v>
      </c>
      <c r="M100" t="s">
        <v>404</v>
      </c>
      <c r="N100" t="s">
        <v>380</v>
      </c>
      <c r="O100">
        <v>17</v>
      </c>
      <c r="P100" t="s">
        <v>110</v>
      </c>
      <c r="Q100" t="s">
        <v>405</v>
      </c>
      <c r="R100" s="10" t="s">
        <v>424</v>
      </c>
    </row>
    <row r="101" spans="1:18" x14ac:dyDescent="0.2">
      <c r="A101" t="s">
        <v>74</v>
      </c>
      <c r="B101" t="s">
        <v>69</v>
      </c>
      <c r="C101">
        <v>2</v>
      </c>
      <c r="D101" t="s">
        <v>75</v>
      </c>
      <c r="E101" t="s">
        <v>406</v>
      </c>
      <c r="F101">
        <v>0</v>
      </c>
      <c r="G101">
        <v>0</v>
      </c>
      <c r="H101" s="37">
        <v>3</v>
      </c>
      <c r="I101">
        <v>2</v>
      </c>
      <c r="J101" t="b">
        <v>0</v>
      </c>
      <c r="K101" t="b">
        <v>1</v>
      </c>
      <c r="L101" t="b">
        <v>1</v>
      </c>
      <c r="M101" t="s">
        <v>407</v>
      </c>
      <c r="N101" t="s">
        <v>380</v>
      </c>
      <c r="O101">
        <v>18</v>
      </c>
      <c r="P101" t="s">
        <v>110</v>
      </c>
      <c r="Q101" t="s">
        <v>408</v>
      </c>
      <c r="R101" s="10" t="s">
        <v>424</v>
      </c>
    </row>
    <row r="102" spans="1:18" x14ac:dyDescent="0.2">
      <c r="A102" t="s">
        <v>79</v>
      </c>
      <c r="B102" t="s">
        <v>80</v>
      </c>
      <c r="C102">
        <v>2</v>
      </c>
      <c r="D102" t="s">
        <v>81</v>
      </c>
      <c r="E102" t="s">
        <v>409</v>
      </c>
      <c r="F102">
        <v>0</v>
      </c>
      <c r="G102">
        <v>0</v>
      </c>
      <c r="H102" s="37">
        <v>1</v>
      </c>
      <c r="I102">
        <v>1</v>
      </c>
      <c r="J102" t="b">
        <v>0</v>
      </c>
      <c r="K102" t="b">
        <v>1</v>
      </c>
      <c r="L102" t="b">
        <v>0</v>
      </c>
      <c r="M102" t="s">
        <v>410</v>
      </c>
      <c r="N102" t="s">
        <v>380</v>
      </c>
      <c r="O102">
        <v>19</v>
      </c>
      <c r="P102" t="s">
        <v>110</v>
      </c>
      <c r="Q102" t="s">
        <v>411</v>
      </c>
      <c r="R102" s="10" t="s">
        <v>424</v>
      </c>
    </row>
    <row r="103" spans="1:18" x14ac:dyDescent="0.2">
      <c r="A103" t="s">
        <v>85</v>
      </c>
      <c r="B103" t="s">
        <v>86</v>
      </c>
      <c r="C103">
        <v>2</v>
      </c>
      <c r="D103" t="s">
        <v>87</v>
      </c>
      <c r="E103" t="s">
        <v>412</v>
      </c>
      <c r="F103">
        <v>0</v>
      </c>
      <c r="G103">
        <v>0</v>
      </c>
      <c r="H103" s="37">
        <v>1</v>
      </c>
      <c r="I103">
        <v>1</v>
      </c>
      <c r="J103" t="b">
        <v>0</v>
      </c>
      <c r="K103" t="b">
        <v>1</v>
      </c>
      <c r="L103" t="b">
        <v>1</v>
      </c>
      <c r="M103" t="s">
        <v>413</v>
      </c>
      <c r="N103" t="s">
        <v>380</v>
      </c>
      <c r="O103">
        <v>20</v>
      </c>
      <c r="P103" t="s">
        <v>110</v>
      </c>
      <c r="Q103" t="s">
        <v>414</v>
      </c>
      <c r="R103" s="10" t="s">
        <v>424</v>
      </c>
    </row>
    <row r="104" spans="1:18" x14ac:dyDescent="0.2">
      <c r="A104" t="s">
        <v>91</v>
      </c>
      <c r="B104" t="s">
        <v>92</v>
      </c>
      <c r="C104">
        <v>0</v>
      </c>
      <c r="D104" t="s">
        <v>93</v>
      </c>
      <c r="E104" t="s">
        <v>415</v>
      </c>
      <c r="F104">
        <v>0</v>
      </c>
      <c r="G104">
        <v>1</v>
      </c>
      <c r="H104" s="37">
        <v>3</v>
      </c>
      <c r="I104">
        <v>1</v>
      </c>
      <c r="J104" t="b">
        <v>0</v>
      </c>
      <c r="K104" t="b">
        <v>1</v>
      </c>
      <c r="L104" t="b">
        <v>1</v>
      </c>
      <c r="M104" t="s">
        <v>416</v>
      </c>
      <c r="N104" t="s">
        <v>380</v>
      </c>
      <c r="O104">
        <v>21</v>
      </c>
      <c r="P104" t="s">
        <v>110</v>
      </c>
      <c r="Q104" t="s">
        <v>417</v>
      </c>
      <c r="R104" s="10" t="s">
        <v>424</v>
      </c>
    </row>
    <row r="105" spans="1:18" x14ac:dyDescent="0.2">
      <c r="A105" t="s">
        <v>97</v>
      </c>
      <c r="B105" t="s">
        <v>92</v>
      </c>
      <c r="C105">
        <v>0</v>
      </c>
      <c r="D105" t="s">
        <v>98</v>
      </c>
      <c r="E105" t="s">
        <v>418</v>
      </c>
      <c r="F105">
        <v>0</v>
      </c>
      <c r="G105">
        <v>1</v>
      </c>
      <c r="H105" s="37">
        <v>3</v>
      </c>
      <c r="I105">
        <v>3</v>
      </c>
      <c r="J105" t="b">
        <v>0</v>
      </c>
      <c r="K105" t="b">
        <v>1</v>
      </c>
      <c r="L105" t="b">
        <v>0</v>
      </c>
      <c r="M105" t="s">
        <v>419</v>
      </c>
      <c r="N105" t="s">
        <v>380</v>
      </c>
      <c r="O105">
        <v>22</v>
      </c>
      <c r="P105" t="s">
        <v>110</v>
      </c>
      <c r="Q105" t="s">
        <v>420</v>
      </c>
      <c r="R105" s="10" t="s">
        <v>424</v>
      </c>
    </row>
    <row r="106" spans="1:18" x14ac:dyDescent="0.2">
      <c r="A106" t="s">
        <v>102</v>
      </c>
      <c r="B106" t="s">
        <v>57</v>
      </c>
      <c r="C106">
        <v>1</v>
      </c>
      <c r="D106" t="s">
        <v>103</v>
      </c>
      <c r="E106" t="s">
        <v>421</v>
      </c>
      <c r="F106">
        <v>1</v>
      </c>
      <c r="G106">
        <v>0</v>
      </c>
      <c r="H106" s="38">
        <v>1</v>
      </c>
      <c r="I106">
        <v>3</v>
      </c>
      <c r="J106" t="b">
        <v>0</v>
      </c>
      <c r="K106" t="b">
        <v>1</v>
      </c>
      <c r="L106" t="b">
        <v>0</v>
      </c>
      <c r="M106" t="s">
        <v>422</v>
      </c>
      <c r="N106" t="s">
        <v>380</v>
      </c>
      <c r="O106">
        <v>23</v>
      </c>
      <c r="P106" t="s">
        <v>110</v>
      </c>
      <c r="Q106" t="s">
        <v>423</v>
      </c>
      <c r="R106" s="10" t="s">
        <v>424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44"/>
  <sheetViews>
    <sheetView zoomScale="110" zoomScaleNormal="110" workbookViewId="0">
      <selection activeCell="B15" sqref="B15"/>
    </sheetView>
  </sheetViews>
  <sheetFormatPr baseColWidth="10" defaultColWidth="8.83203125" defaultRowHeight="16" x14ac:dyDescent="0.2"/>
  <cols>
    <col min="1" max="1" width="18" bestFit="1" customWidth="1"/>
    <col min="2" max="2" width="21.1640625" bestFit="1" customWidth="1"/>
    <col min="3" max="3" width="17.6640625" bestFit="1" customWidth="1"/>
    <col min="4" max="4" width="21.33203125" bestFit="1" customWidth="1"/>
    <col min="5" max="5" width="24.33203125" bestFit="1" customWidth="1"/>
    <col min="6" max="6" width="4.5" customWidth="1"/>
    <col min="7" max="7" width="22" customWidth="1"/>
    <col min="8" max="8" width="16.83203125" customWidth="1"/>
    <col min="9" max="9" width="14.83203125" customWidth="1"/>
    <col min="10" max="10" width="15" customWidth="1"/>
  </cols>
  <sheetData>
    <row r="1" spans="1:10" ht="40" customHeight="1" x14ac:dyDescent="0.2">
      <c r="A1" s="34" t="s">
        <v>155</v>
      </c>
      <c r="B1" s="34"/>
      <c r="C1" s="34"/>
      <c r="D1" s="34"/>
      <c r="E1" s="34"/>
      <c r="F1" s="34"/>
      <c r="G1" s="34"/>
      <c r="H1" s="34"/>
      <c r="I1" s="34"/>
      <c r="J1" s="34"/>
    </row>
    <row r="2" spans="1:10" ht="18" customHeight="1" x14ac:dyDescent="0.2"/>
    <row r="3" spans="1:10" ht="18" customHeight="1" x14ac:dyDescent="0.2"/>
    <row r="4" spans="1:10" ht="18" customHeight="1" x14ac:dyDescent="0.2"/>
    <row r="5" spans="1:10" ht="18" customHeight="1" x14ac:dyDescent="0.2"/>
    <row r="6" spans="1:10" ht="18" customHeight="1" x14ac:dyDescent="0.2"/>
    <row r="7" spans="1:10" ht="18" customHeight="1" x14ac:dyDescent="0.2"/>
    <row r="8" spans="1:10" ht="18" customHeight="1" x14ac:dyDescent="0.2"/>
    <row r="9" spans="1:10" ht="18" customHeight="1" x14ac:dyDescent="0.2"/>
    <row r="10" spans="1:10" ht="18" customHeight="1" x14ac:dyDescent="0.2"/>
    <row r="11" spans="1:10" ht="18" customHeight="1" x14ac:dyDescent="0.2"/>
    <row r="12" spans="1:10" ht="18" customHeight="1" x14ac:dyDescent="0.2"/>
    <row r="13" spans="1:10" ht="18" customHeight="1" x14ac:dyDescent="0.2"/>
    <row r="15" spans="1:10" x14ac:dyDescent="0.2">
      <c r="A15" s="11" t="s">
        <v>287</v>
      </c>
      <c r="B15" t="s">
        <v>424</v>
      </c>
    </row>
    <row r="16" spans="1:10" x14ac:dyDescent="0.2">
      <c r="G16" s="36" t="s">
        <v>156</v>
      </c>
      <c r="H16" s="35"/>
      <c r="I16" s="35"/>
      <c r="J16" s="35"/>
    </row>
    <row r="17" spans="1:10" ht="51" x14ac:dyDescent="0.2">
      <c r="A17" s="28" t="s">
        <v>276</v>
      </c>
      <c r="B17" s="29" t="s">
        <v>277</v>
      </c>
      <c r="C17" s="29" t="s">
        <v>278</v>
      </c>
      <c r="D17" s="29" t="s">
        <v>279</v>
      </c>
      <c r="E17" s="29" t="s">
        <v>280</v>
      </c>
      <c r="G17" s="1" t="s">
        <v>158</v>
      </c>
      <c r="H17" s="1" t="s">
        <v>159</v>
      </c>
      <c r="I17" s="1" t="s">
        <v>160</v>
      </c>
      <c r="J17" s="1" t="s">
        <v>161</v>
      </c>
    </row>
    <row r="18" spans="1:10" x14ac:dyDescent="0.2">
      <c r="A18" s="12">
        <v>8</v>
      </c>
      <c r="B18" s="13">
        <v>1</v>
      </c>
      <c r="C18" s="13">
        <v>0</v>
      </c>
      <c r="D18" s="14">
        <v>1</v>
      </c>
      <c r="E18" s="39">
        <v>1</v>
      </c>
      <c r="G18" s="3" t="s">
        <v>164</v>
      </c>
      <c r="H18" s="16">
        <f>COUNTIF(Sheet!$R$2:$R$984,$B$15)</f>
        <v>15</v>
      </c>
      <c r="I18" s="7">
        <f>COUNTA(Sheet!$R$2:$R$984)</f>
        <v>105</v>
      </c>
      <c r="J18" s="7"/>
    </row>
    <row r="19" spans="1:10" x14ac:dyDescent="0.2">
      <c r="A19" s="12">
        <v>9</v>
      </c>
      <c r="B19" s="13">
        <v>1</v>
      </c>
      <c r="C19" s="13">
        <v>0</v>
      </c>
      <c r="D19" s="14">
        <v>4</v>
      </c>
      <c r="E19" s="39">
        <v>4</v>
      </c>
      <c r="G19" s="3" t="s">
        <v>166</v>
      </c>
      <c r="H19" s="17">
        <f>IFERROR(AVERAGEIF(Sheet!$R$2:$R$984,$B$15,Sheet!$H$2:$H$984),0)</f>
        <v>2.6</v>
      </c>
      <c r="I19" s="15">
        <f>IFERROR(AVERAGE(Sheet!$H$2:$H$984),0)</f>
        <v>3.1809523809523808</v>
      </c>
      <c r="J19" s="20">
        <f t="shared" ref="J19:J25" si="0">H19-I19</f>
        <v>-0.58095238095238066</v>
      </c>
    </row>
    <row r="20" spans="1:10" x14ac:dyDescent="0.2">
      <c r="A20" s="12">
        <v>11</v>
      </c>
      <c r="B20" s="13">
        <v>1</v>
      </c>
      <c r="C20" s="13">
        <v>0</v>
      </c>
      <c r="D20" s="14">
        <v>5</v>
      </c>
      <c r="E20" s="39">
        <v>4</v>
      </c>
      <c r="G20" s="3" t="s">
        <v>168</v>
      </c>
      <c r="H20" s="18">
        <f>IFERROR(AVERAGEIF(Sheet!$R$2:$R$984,$B$15,Sheet!$I$2:$I$984),0)</f>
        <v>2.4</v>
      </c>
      <c r="I20" s="9">
        <f>IFERROR(AVERAGE(Sheet!$I$2:$I$984),0)</f>
        <v>3.1142857142857143</v>
      </c>
      <c r="J20" s="21">
        <f t="shared" si="0"/>
        <v>-0.71428571428571441</v>
      </c>
    </row>
    <row r="21" spans="1:10" x14ac:dyDescent="0.2">
      <c r="A21" s="12">
        <v>12</v>
      </c>
      <c r="B21" s="13">
        <v>1</v>
      </c>
      <c r="C21" s="13">
        <v>0</v>
      </c>
      <c r="D21" s="14">
        <v>5</v>
      </c>
      <c r="E21" s="39">
        <v>5</v>
      </c>
      <c r="G21" s="3" t="s">
        <v>170</v>
      </c>
      <c r="H21" s="19">
        <f>IFERROR(COUNTIFS(Sheet!$R$2:$R$984,$B$15,Sheet!$I$2:$I$984,5)/COUNTIF(Sheet!$R$2:$R$984,$B$15),0)</f>
        <v>6.6666666666666666E-2</v>
      </c>
      <c r="I21" s="8">
        <f>IFERROR(COUNTIF(Sheet!$I$2:$I$984,5)/COUNTA(Sheet!$R$2:$R$984),0)</f>
        <v>9.5238095238095233E-2</v>
      </c>
      <c r="J21" s="20">
        <f t="shared" si="0"/>
        <v>-2.8571428571428567E-2</v>
      </c>
    </row>
    <row r="22" spans="1:10" x14ac:dyDescent="0.2">
      <c r="A22" s="12">
        <v>13</v>
      </c>
      <c r="B22" s="13">
        <v>1</v>
      </c>
      <c r="C22" s="13">
        <v>0.97435897435897434</v>
      </c>
      <c r="D22" s="14">
        <v>3</v>
      </c>
      <c r="E22" s="39">
        <v>3</v>
      </c>
      <c r="G22" s="3" t="s">
        <v>172</v>
      </c>
      <c r="H22" s="33">
        <f>IFERROR(AVERAGEIF(Sheet!$R:$R,$B$15,Sheet!$F:$F),0)</f>
        <v>0.6</v>
      </c>
      <c r="I22" s="8">
        <f>IFERROR(AVERAGE(Sheet!$F:$F),0)</f>
        <v>0.77142857142857146</v>
      </c>
      <c r="J22" s="20">
        <f t="shared" si="0"/>
        <v>-0.17142857142857149</v>
      </c>
    </row>
    <row r="23" spans="1:10" x14ac:dyDescent="0.2">
      <c r="A23" s="12">
        <v>14</v>
      </c>
      <c r="B23" s="13">
        <v>1</v>
      </c>
      <c r="C23" s="13">
        <v>0</v>
      </c>
      <c r="D23" s="14">
        <v>1</v>
      </c>
      <c r="E23" s="39">
        <v>1</v>
      </c>
      <c r="G23" s="3" t="s">
        <v>173</v>
      </c>
      <c r="H23" s="19" cm="1">
        <f t="array" ref="H23">IFERROR(SUMPRODUCT((Sheet!$R$2:$R$984=$B$15)*(Sheet!$J$2:$J$984=TRUE))/COUNTIF(Sheet!$R$2:$R$984,$B$15),0)</f>
        <v>6.6666666666666666E-2</v>
      </c>
      <c r="I23" s="8">
        <f>IFERROR(SUMPRODUCT((Sheet!$R$2:$R$984&lt;&gt;"")*(Sheet!$J$2:$J$984=TRUE))/COUNTA(Sheet!$R$2:$R$984),0)</f>
        <v>1.9047619047619049E-2</v>
      </c>
      <c r="J23" s="20">
        <f t="shared" si="0"/>
        <v>4.7619047619047616E-2</v>
      </c>
    </row>
    <row r="24" spans="1:10" x14ac:dyDescent="0.2">
      <c r="A24" s="12">
        <v>15</v>
      </c>
      <c r="B24" s="13">
        <v>1</v>
      </c>
      <c r="C24" s="13">
        <v>0</v>
      </c>
      <c r="D24" s="14">
        <v>2</v>
      </c>
      <c r="E24" s="39">
        <v>1</v>
      </c>
      <c r="G24" s="3" t="s">
        <v>176</v>
      </c>
      <c r="H24" s="19" cm="1">
        <f t="array" ref="H24">IFERROR(SUMPRODUCT((Sheet!$R$2:$R$984=$B$15)*(Sheet!$K$2:$K$984=TRUE))/COUNTIF(Sheet!$R$2:$R$984,$B$15),0)</f>
        <v>0.8</v>
      </c>
      <c r="I24" s="8">
        <f>IFERROR(SUMPRODUCT((Sheet!$R$2:$R$984&lt;&gt;"")*(Sheet!$K$2:$K$984=TRUE))/COUNTA(Sheet!$R$2:$R$984),0)</f>
        <v>0.56190476190476191</v>
      </c>
      <c r="J24" s="20">
        <f t="shared" si="0"/>
        <v>0.23809523809523814</v>
      </c>
    </row>
    <row r="25" spans="1:10" x14ac:dyDescent="0.2">
      <c r="A25" s="12">
        <v>16</v>
      </c>
      <c r="B25" s="13">
        <v>1</v>
      </c>
      <c r="C25" s="13">
        <v>0.98181818181818181</v>
      </c>
      <c r="D25" s="14">
        <v>3</v>
      </c>
      <c r="E25" s="39">
        <v>3</v>
      </c>
      <c r="G25" s="3" t="s">
        <v>177</v>
      </c>
      <c r="H25" s="19" cm="1">
        <f t="array" ref="H25">IFERROR(SUMPRODUCT((Sheet!$R$2:$R$984=$B$15)*(Sheet!$L$2:$L$984=TRUE))/COUNTIF(Sheet!$R$2:$R$984,$B$15),0)</f>
        <v>0.53333333333333333</v>
      </c>
      <c r="I25" s="8">
        <f>IFERROR(SUMPRODUCT((Sheet!$R$2:$R$984&lt;&gt;"")*(Sheet!$L$2:$L$984=TRUE))/COUNTA(Sheet!$R$2:$R$984),0)</f>
        <v>0.7142857142857143</v>
      </c>
      <c r="J25" s="20">
        <f t="shared" si="0"/>
        <v>-0.18095238095238098</v>
      </c>
    </row>
    <row r="26" spans="1:10" x14ac:dyDescent="0.2">
      <c r="A26" s="12">
        <v>17</v>
      </c>
      <c r="B26" s="13">
        <v>0</v>
      </c>
      <c r="C26" s="13">
        <v>0.46913580246913578</v>
      </c>
      <c r="D26" s="14">
        <v>3</v>
      </c>
      <c r="E26" s="39">
        <v>3</v>
      </c>
      <c r="J26" s="10"/>
    </row>
    <row r="27" spans="1:10" x14ac:dyDescent="0.2">
      <c r="A27" s="12">
        <v>18</v>
      </c>
      <c r="B27" s="13">
        <v>0</v>
      </c>
      <c r="C27" s="13">
        <v>0</v>
      </c>
      <c r="D27" s="14">
        <v>3</v>
      </c>
      <c r="E27" s="39">
        <v>2</v>
      </c>
      <c r="G27" s="36" t="s">
        <v>157</v>
      </c>
      <c r="H27" s="35"/>
      <c r="I27" s="35"/>
    </row>
    <row r="28" spans="1:10" x14ac:dyDescent="0.2">
      <c r="A28" s="12">
        <v>19</v>
      </c>
      <c r="B28" s="13">
        <v>0</v>
      </c>
      <c r="C28" s="13">
        <v>0</v>
      </c>
      <c r="D28" s="14">
        <v>1</v>
      </c>
      <c r="E28" s="39">
        <v>1</v>
      </c>
      <c r="G28" s="1" t="s">
        <v>162</v>
      </c>
      <c r="H28" s="1" t="s">
        <v>163</v>
      </c>
    </row>
    <row r="29" spans="1:10" x14ac:dyDescent="0.2">
      <c r="A29" s="12">
        <v>20</v>
      </c>
      <c r="B29" s="13">
        <v>0</v>
      </c>
      <c r="C29" s="13">
        <v>0</v>
      </c>
      <c r="D29" s="14">
        <v>1</v>
      </c>
      <c r="E29" s="39">
        <v>1</v>
      </c>
      <c r="G29" t="s">
        <v>165</v>
      </c>
      <c r="H29" s="5">
        <f>H23</f>
        <v>6.6666666666666666E-2</v>
      </c>
    </row>
    <row r="30" spans="1:10" x14ac:dyDescent="0.2">
      <c r="A30" s="12">
        <v>21</v>
      </c>
      <c r="B30" s="13">
        <v>0</v>
      </c>
      <c r="C30" s="13">
        <v>1</v>
      </c>
      <c r="D30" s="14">
        <v>3</v>
      </c>
      <c r="E30" s="39">
        <v>1</v>
      </c>
      <c r="G30" t="s">
        <v>167</v>
      </c>
      <c r="H30" s="5">
        <f>H24</f>
        <v>0.8</v>
      </c>
    </row>
    <row r="31" spans="1:10" x14ac:dyDescent="0.2">
      <c r="A31" s="12">
        <v>22</v>
      </c>
      <c r="B31" s="13">
        <v>0</v>
      </c>
      <c r="C31" s="13">
        <v>1</v>
      </c>
      <c r="D31" s="14">
        <v>3</v>
      </c>
      <c r="E31" s="39">
        <v>3</v>
      </c>
      <c r="G31" t="s">
        <v>169</v>
      </c>
      <c r="H31" s="5">
        <f>H25</f>
        <v>0.53333333333333333</v>
      </c>
    </row>
    <row r="32" spans="1:10" x14ac:dyDescent="0.2">
      <c r="A32" s="12">
        <v>23</v>
      </c>
      <c r="B32" s="13">
        <v>1</v>
      </c>
      <c r="C32" s="13">
        <v>0</v>
      </c>
      <c r="D32" s="14">
        <v>1</v>
      </c>
      <c r="E32" s="39">
        <v>3</v>
      </c>
      <c r="G32" t="s">
        <v>171</v>
      </c>
      <c r="H32" s="5">
        <f>1-H22</f>
        <v>0.4</v>
      </c>
    </row>
    <row r="33" spans="1:8" x14ac:dyDescent="0.2">
      <c r="A33" s="12" t="s">
        <v>275</v>
      </c>
      <c r="B33" s="13">
        <v>0.6</v>
      </c>
      <c r="C33" s="13">
        <v>0.2950208639097528</v>
      </c>
      <c r="D33" s="14">
        <v>2.6</v>
      </c>
      <c r="E33" s="6">
        <v>2.4</v>
      </c>
    </row>
    <row r="34" spans="1:8" x14ac:dyDescent="0.2">
      <c r="G34" s="1" t="s">
        <v>174</v>
      </c>
      <c r="H34" s="1" t="s">
        <v>175</v>
      </c>
    </row>
    <row r="35" spans="1:8" x14ac:dyDescent="0.2">
      <c r="G35">
        <v>1</v>
      </c>
      <c r="H35" s="4">
        <f>COUNTIFS(Sheet!$R$2:$R$984,$B$15,Sheet!$I$2:$I$984,G35)</f>
        <v>6</v>
      </c>
    </row>
    <row r="36" spans="1:8" x14ac:dyDescent="0.2">
      <c r="G36">
        <v>2</v>
      </c>
      <c r="H36" s="4">
        <f>COUNTIFS(Sheet!$R$2:$R$984,$B$15,Sheet!$I$2:$I$984,G36)</f>
        <v>1</v>
      </c>
    </row>
    <row r="37" spans="1:8" x14ac:dyDescent="0.2">
      <c r="G37">
        <v>3</v>
      </c>
      <c r="H37" s="4">
        <f>COUNTIFS(Sheet!$R$2:$R$984,$B$15,Sheet!$I$2:$I$984,G37)</f>
        <v>5</v>
      </c>
    </row>
    <row r="38" spans="1:8" x14ac:dyDescent="0.2">
      <c r="G38">
        <v>4</v>
      </c>
      <c r="H38" s="4">
        <f>COUNTIFS(Sheet!$R$2:$R$984,$B$15,Sheet!$I$2:$I$984,G38)</f>
        <v>2</v>
      </c>
    </row>
    <row r="39" spans="1:8" x14ac:dyDescent="0.2">
      <c r="G39">
        <v>5</v>
      </c>
      <c r="H39" s="4">
        <f>COUNTIFS(Sheet!$R$2:$R$984,$B$15,Sheet!$I$2:$I$984,G39)</f>
        <v>1</v>
      </c>
    </row>
    <row r="40" spans="1:8" x14ac:dyDescent="0.2">
      <c r="G40" t="s">
        <v>178</v>
      </c>
      <c r="H40" s="4">
        <f>COUNTIFS(Sheet!$R$2:$R$984,$B$15,Sheet!$I$2:$I$984,"")</f>
        <v>0</v>
      </c>
    </row>
    <row r="42" spans="1:8" x14ac:dyDescent="0.2">
      <c r="G42" s="1" t="s">
        <v>179</v>
      </c>
      <c r="H42" s="1" t="s">
        <v>159</v>
      </c>
    </row>
    <row r="43" spans="1:8" x14ac:dyDescent="0.2">
      <c r="G43" t="s">
        <v>180</v>
      </c>
      <c r="H43" s="6">
        <f>H20</f>
        <v>2.4</v>
      </c>
    </row>
    <row r="44" spans="1:8" x14ac:dyDescent="0.2">
      <c r="G44" t="s">
        <v>160</v>
      </c>
      <c r="H44" s="6">
        <f>I20</f>
        <v>3.1142857142857143</v>
      </c>
    </row>
  </sheetData>
  <mergeCells count="3">
    <mergeCell ref="G16:J16"/>
    <mergeCell ref="G27:I27"/>
    <mergeCell ref="A1:J1"/>
  </mergeCells>
  <conditionalFormatting sqref="J19:J25">
    <cfRule type="colorScale" priority="5">
      <colorScale>
        <cfvo type="min"/>
        <cfvo type="percentile" val="50"/>
        <cfvo type="max"/>
        <color rgb="FFF8696B"/>
        <color rgb="FFFFEB84"/>
        <color rgb="FF63BE7B"/>
      </colorScale>
    </cfRule>
  </conditionalFormatting>
  <conditionalFormatting sqref="J22">
    <cfRule type="colorScale" priority="1">
      <colorScale>
        <cfvo type="min"/>
        <cfvo type="percentile" val="50"/>
        <cfvo type="max"/>
        <color rgb="FF63BE7B"/>
        <color rgb="FFFFEB84"/>
        <color rgb="FFF8696B"/>
      </colorScale>
    </cfRule>
  </conditionalFormatting>
  <conditionalFormatting sqref="J24">
    <cfRule type="colorScale" priority="3">
      <colorScale>
        <cfvo type="min"/>
        <cfvo type="percentile" val="50"/>
        <cfvo type="max"/>
        <color rgb="FFF8696B"/>
        <color rgb="FFFFEB84"/>
        <color rgb="FF63BE7B"/>
      </colorScale>
    </cfRule>
  </conditionalFormatting>
  <conditionalFormatting sqref="J25">
    <cfRule type="colorScale" priority="4">
      <colorScale>
        <cfvo type="min"/>
        <cfvo type="percentile" val="50"/>
        <cfvo type="max"/>
        <color rgb="FFF8696B"/>
        <color rgb="FFFFEB84"/>
        <color rgb="FF63BE7B"/>
      </colorScale>
    </cfRule>
  </conditionalFormatting>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5"/>
  <sheetViews>
    <sheetView tabSelected="1" workbookViewId="0">
      <selection activeCell="H30" sqref="H30"/>
    </sheetView>
  </sheetViews>
  <sheetFormatPr baseColWidth="10" defaultColWidth="8.83203125" defaultRowHeight="16" customHeight="1" x14ac:dyDescent="0.2"/>
  <cols>
    <col min="1" max="1" width="16.83203125" style="32" customWidth="1"/>
    <col min="2" max="2" width="11.83203125" bestFit="1" customWidth="1"/>
    <col min="3" max="3" width="18" bestFit="1" customWidth="1"/>
    <col min="4" max="4" width="17" bestFit="1" customWidth="1"/>
    <col min="5" max="5" width="19.33203125" bestFit="1" customWidth="1"/>
    <col min="6" max="6" width="18.83203125" customWidth="1"/>
    <col min="7" max="7" width="22.83203125" bestFit="1" customWidth="1"/>
    <col min="8" max="8" width="11.83203125" bestFit="1" customWidth="1"/>
    <col min="9" max="9" width="18" bestFit="1" customWidth="1"/>
    <col min="10" max="10" width="17" bestFit="1" customWidth="1"/>
    <col min="11" max="11" width="19.33203125" bestFit="1" customWidth="1"/>
    <col min="13" max="16" width="18" customWidth="1"/>
  </cols>
  <sheetData>
    <row r="1" spans="1:11" ht="16" customHeight="1" x14ac:dyDescent="0.2">
      <c r="A1" s="34" t="s">
        <v>181</v>
      </c>
      <c r="B1" s="35" t="s">
        <v>181</v>
      </c>
      <c r="C1" s="35" t="s">
        <v>181</v>
      </c>
      <c r="D1" s="35" t="s">
        <v>181</v>
      </c>
      <c r="E1" s="35" t="s">
        <v>181</v>
      </c>
      <c r="F1" s="35" t="s">
        <v>181</v>
      </c>
      <c r="G1" s="35" t="s">
        <v>181</v>
      </c>
      <c r="H1" s="35" t="s">
        <v>181</v>
      </c>
      <c r="I1" s="35" t="s">
        <v>181</v>
      </c>
      <c r="J1" s="35" t="s">
        <v>181</v>
      </c>
      <c r="K1" s="35" t="s">
        <v>181</v>
      </c>
    </row>
    <row r="18" spans="1:11" ht="16" customHeight="1" x14ac:dyDescent="0.2">
      <c r="A18" s="30" t="s">
        <v>274</v>
      </c>
      <c r="B18" t="s">
        <v>281</v>
      </c>
      <c r="C18" t="s">
        <v>282</v>
      </c>
      <c r="D18" t="s">
        <v>283</v>
      </c>
      <c r="E18" t="s">
        <v>284</v>
      </c>
      <c r="F18" s="24" t="s">
        <v>285</v>
      </c>
      <c r="G18" s="24" t="s">
        <v>286</v>
      </c>
      <c r="H18" s="25" t="s">
        <v>281</v>
      </c>
      <c r="I18" s="25" t="s">
        <v>282</v>
      </c>
      <c r="J18" s="25" t="s">
        <v>283</v>
      </c>
      <c r="K18" s="25" t="s">
        <v>284</v>
      </c>
    </row>
    <row r="19" spans="1:11" ht="16" customHeight="1" x14ac:dyDescent="0.2">
      <c r="A19" s="31" t="s">
        <v>23</v>
      </c>
      <c r="B19" s="13">
        <v>0.73333333333333328</v>
      </c>
      <c r="C19" s="13">
        <v>0.85771245670017759</v>
      </c>
      <c r="D19" s="6">
        <v>3.3333333333333335</v>
      </c>
      <c r="E19" s="6">
        <v>3.3333333333333335</v>
      </c>
      <c r="F19" s="22">
        <f t="shared" ref="F19:F24" si="0">--LEFT(SUBSTITUTE(_xlfn.TEXTBEFORE(_xlfn.TEXTAFTER(A19,"""createdAt"":"""),""""),"T"," "),19)</f>
        <v>46200.759826388887</v>
      </c>
      <c r="G19" s="23" t="str">
        <f>_xlfn.TEXTBEFORE(_xlfn.TEXTAFTER(A19,"""id"":"""),"""")</f>
        <v>14265</v>
      </c>
      <c r="H19" s="26">
        <f>B19</f>
        <v>0.73333333333333328</v>
      </c>
      <c r="I19" s="26">
        <f t="shared" ref="I19:K22" si="1">C19</f>
        <v>0.85771245670017759</v>
      </c>
      <c r="J19" s="27">
        <f t="shared" si="1"/>
        <v>3.3333333333333335</v>
      </c>
      <c r="K19" s="27">
        <f t="shared" si="1"/>
        <v>3.3333333333333335</v>
      </c>
    </row>
    <row r="20" spans="1:11" ht="16" customHeight="1" x14ac:dyDescent="0.2">
      <c r="A20" s="31" t="s">
        <v>109</v>
      </c>
      <c r="B20" s="13">
        <v>0.8666666666666667</v>
      </c>
      <c r="C20" s="13">
        <v>0.72115962681401435</v>
      </c>
      <c r="D20" s="6">
        <v>2.7333333333333334</v>
      </c>
      <c r="E20" s="6">
        <v>2.9333333333333331</v>
      </c>
      <c r="F20" s="22">
        <f t="shared" si="0"/>
        <v>46200.768738425926</v>
      </c>
      <c r="G20" s="23" t="str">
        <f t="shared" ref="G20:G22" si="2">_xlfn.TEXTBEFORE(_xlfn.TEXTAFTER(A20,"""id"":"""),"""")</f>
        <v>14269</v>
      </c>
      <c r="H20" s="26">
        <f t="shared" ref="H20:H22" si="3">B20</f>
        <v>0.8666666666666667</v>
      </c>
      <c r="I20" s="26">
        <f t="shared" si="1"/>
        <v>0.72115962681401435</v>
      </c>
      <c r="J20" s="27">
        <f t="shared" si="1"/>
        <v>2.7333333333333334</v>
      </c>
      <c r="K20" s="27">
        <f t="shared" si="1"/>
        <v>2.9333333333333331</v>
      </c>
    </row>
    <row r="21" spans="1:11" ht="16" customHeight="1" x14ac:dyDescent="0.2">
      <c r="A21" s="31" t="s">
        <v>184</v>
      </c>
      <c r="B21" s="13">
        <v>0.8666666666666667</v>
      </c>
      <c r="C21" s="13">
        <v>0.96572918153516529</v>
      </c>
      <c r="D21" s="6">
        <v>3.4</v>
      </c>
      <c r="E21" s="6">
        <v>3.2666666666666666</v>
      </c>
      <c r="F21" s="22">
        <f t="shared" si="0"/>
        <v>46200.773402777777</v>
      </c>
      <c r="G21" s="23" t="str">
        <f t="shared" si="2"/>
        <v>14270</v>
      </c>
      <c r="H21" s="26">
        <f t="shared" si="3"/>
        <v>0.8666666666666667</v>
      </c>
      <c r="I21" s="26">
        <f t="shared" si="1"/>
        <v>0.96572918153516529</v>
      </c>
      <c r="J21" s="27">
        <f t="shared" si="1"/>
        <v>3.4</v>
      </c>
      <c r="K21" s="27">
        <f t="shared" si="1"/>
        <v>3.2666666666666666</v>
      </c>
    </row>
    <row r="22" spans="1:11" ht="16" customHeight="1" x14ac:dyDescent="0.2">
      <c r="A22" s="31" t="s">
        <v>230</v>
      </c>
      <c r="B22" s="13">
        <v>0.66666666666666663</v>
      </c>
      <c r="C22" s="13">
        <v>0.78913000159289992</v>
      </c>
      <c r="D22" s="6">
        <v>3.4666666666666668</v>
      </c>
      <c r="E22" s="6">
        <v>3.4</v>
      </c>
      <c r="F22" s="22">
        <f t="shared" si="0"/>
        <v>46200.783067129632</v>
      </c>
      <c r="G22" s="23" t="str">
        <f t="shared" si="2"/>
        <v>14271</v>
      </c>
      <c r="H22" s="26">
        <f t="shared" si="3"/>
        <v>0.66666666666666663</v>
      </c>
      <c r="I22" s="26">
        <f t="shared" si="1"/>
        <v>0.78913000159289992</v>
      </c>
      <c r="J22" s="27">
        <f t="shared" si="1"/>
        <v>3.4666666666666668</v>
      </c>
      <c r="K22" s="27">
        <f t="shared" si="1"/>
        <v>3.4</v>
      </c>
    </row>
    <row r="23" spans="1:11" ht="16" customHeight="1" x14ac:dyDescent="0.2">
      <c r="A23" s="31" t="s">
        <v>290</v>
      </c>
      <c r="B23" s="13">
        <v>0.8666666666666667</v>
      </c>
      <c r="C23" s="13">
        <v>0.9808707798585008</v>
      </c>
      <c r="D23" s="6">
        <v>3.4</v>
      </c>
      <c r="E23" s="6">
        <v>3.2666666666666666</v>
      </c>
      <c r="F23" s="22">
        <f t="shared" si="0"/>
        <v>46200.869687500002</v>
      </c>
      <c r="G23" s="23" t="str">
        <f t="shared" ref="G23" si="4">_xlfn.TEXTBEFORE(_xlfn.TEXTAFTER(A23,"""id"":"""),"""")</f>
        <v>14274</v>
      </c>
      <c r="H23" s="26">
        <f t="shared" ref="H23" si="5">B23</f>
        <v>0.8666666666666667</v>
      </c>
      <c r="I23" s="26">
        <f t="shared" ref="I23" si="6">C23</f>
        <v>0.9808707798585008</v>
      </c>
      <c r="J23" s="27">
        <f t="shared" ref="J23" si="7">D23</f>
        <v>3.4</v>
      </c>
      <c r="K23" s="27">
        <f t="shared" ref="K23" si="8">E23</f>
        <v>3.2666666666666666</v>
      </c>
    </row>
    <row r="24" spans="1:11" ht="16" customHeight="1" x14ac:dyDescent="0.2">
      <c r="A24" s="31" t="s">
        <v>335</v>
      </c>
      <c r="B24" s="13">
        <v>0.8</v>
      </c>
      <c r="C24" s="13">
        <v>0.81432621331393429</v>
      </c>
      <c r="D24" s="6">
        <v>3.3333333333333335</v>
      </c>
      <c r="E24" s="6">
        <v>3.2</v>
      </c>
      <c r="F24" s="22">
        <f t="shared" si="0"/>
        <v>46200.876504629632</v>
      </c>
      <c r="G24" s="23" t="str">
        <f t="shared" ref="G24" si="9">_xlfn.TEXTBEFORE(_xlfn.TEXTAFTER(A24,"""id"":"""),"""")</f>
        <v>14275</v>
      </c>
      <c r="H24" s="26">
        <f t="shared" ref="H24" si="10">B24</f>
        <v>0.8</v>
      </c>
      <c r="I24" s="26">
        <f t="shared" ref="I24" si="11">C24</f>
        <v>0.81432621331393429</v>
      </c>
      <c r="J24" s="27">
        <f t="shared" ref="J24" si="12">D24</f>
        <v>3.3333333333333335</v>
      </c>
      <c r="K24" s="27">
        <f t="shared" ref="K24" si="13">E24</f>
        <v>3.2</v>
      </c>
    </row>
    <row r="25" spans="1:11" ht="16" customHeight="1" x14ac:dyDescent="0.2">
      <c r="A25" s="31" t="s">
        <v>380</v>
      </c>
      <c r="B25" s="13">
        <v>0.6</v>
      </c>
      <c r="C25" s="13">
        <v>0.2950208639097528</v>
      </c>
      <c r="D25" s="6">
        <v>2.6</v>
      </c>
      <c r="E25" s="6">
        <v>2.4</v>
      </c>
      <c r="F25" s="22">
        <f t="shared" ref="F25" si="14">--LEFT(SUBSTITUTE(_xlfn.TEXTBEFORE(_xlfn.TEXTAFTER(A25,"""createdAt"":"""),""""),"T"," "),19)</f>
        <v>46200.93509259259</v>
      </c>
      <c r="G25" s="23" t="str">
        <f t="shared" ref="G25" si="15">_xlfn.TEXTBEFORE(_xlfn.TEXTAFTER(A25,"""id"":"""),"""")</f>
        <v>14301</v>
      </c>
      <c r="H25" s="26">
        <f t="shared" ref="H25" si="16">B25</f>
        <v>0.6</v>
      </c>
      <c r="I25" s="26">
        <f t="shared" ref="I25" si="17">C25</f>
        <v>0.2950208639097528</v>
      </c>
      <c r="J25" s="27">
        <f t="shared" ref="J25" si="18">D25</f>
        <v>2.6</v>
      </c>
      <c r="K25" s="27">
        <f t="shared" ref="K25" si="19">E25</f>
        <v>2.4</v>
      </c>
    </row>
  </sheetData>
  <mergeCells count="1">
    <mergeCell ref="A1:K1"/>
  </mergeCells>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vt:lpstr>
      <vt:lpstr>Run Dashboard</vt:lpstr>
      <vt:lpstr>Runs Over Time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Tobias Zwingmann</cp:lastModifiedBy>
  <dcterms:created xsi:type="dcterms:W3CDTF">2026-06-27T19:18:54Z</dcterms:created>
  <dcterms:modified xsi:type="dcterms:W3CDTF">2026-06-27T22:35:47Z</dcterms:modified>
</cp:coreProperties>
</file>