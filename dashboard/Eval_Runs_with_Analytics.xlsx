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linkedin/Downloads/"/>
    </mc:Choice>
  </mc:AlternateContent>
  <xr:revisionPtr revIDLastSave="0" documentId="13_ncr:1_{3A6DEA0F-FAB0-F44B-ADAA-DFB7603FBAB3}" xr6:coauthVersionLast="47" xr6:coauthVersionMax="47" xr10:uidLastSave="{00000000-0000-0000-0000-000000000000}"/>
  <bookViews>
    <workbookView xWindow="0" yWindow="680" windowWidth="34200" windowHeight="19660" activeTab="2" xr2:uid="{00000000-000D-0000-FFFF-FFFF00000000}"/>
  </bookViews>
  <sheets>
    <sheet name="Run History" sheetId="1" r:id="rId1"/>
    <sheet name="Dashboard" sheetId="4" r:id="rId2"/>
    <sheet name="Runs Over Time" sheetId="5" r:id="rId3"/>
  </sheets>
  <calcPr calcId="191029"/>
  <pivotCaches>
    <pivotCache cacheId="74"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23" i="5" l="1"/>
  <c r="L23" i="5" s="1"/>
  <c r="L26" i="5"/>
  <c r="L27" i="5"/>
  <c r="L28" i="5"/>
  <c r="K23" i="5"/>
  <c r="K24" i="5"/>
  <c r="J24" i="5"/>
  <c r="J25" i="5"/>
  <c r="J26" i="5"/>
  <c r="J27" i="5"/>
  <c r="I23" i="5"/>
  <c r="I24" i="5"/>
  <c r="I25" i="5"/>
  <c r="I26" i="5"/>
  <c r="I27" i="5"/>
  <c r="I28" i="5"/>
  <c r="H23" i="5"/>
  <c r="G20" i="5"/>
  <c r="G21" i="5"/>
  <c r="G22" i="5"/>
  <c r="G24" i="5"/>
  <c r="H24" i="5" s="1"/>
  <c r="G25" i="5"/>
  <c r="K25" i="5" s="1"/>
  <c r="G26" i="5"/>
  <c r="H26" i="5" s="1"/>
  <c r="G27" i="5"/>
  <c r="H27" i="5" s="1"/>
  <c r="G28" i="5"/>
  <c r="J28" i="5" s="1"/>
  <c r="G19" i="5"/>
  <c r="J22" i="4"/>
  <c r="I27" i="4" s="1"/>
  <c r="J21" i="4"/>
  <c r="J20" i="4"/>
  <c r="J19" i="4"/>
  <c r="J20" i="5"/>
  <c r="I22" i="5"/>
  <c r="J21" i="5"/>
  <c r="L20" i="5"/>
  <c r="K20" i="5"/>
  <c r="K22" i="5"/>
  <c r="J22" i="5"/>
  <c r="H22" i="5"/>
  <c r="I20" i="5"/>
  <c r="I21" i="5"/>
  <c r="I22" i="4"/>
  <c r="I21" i="4"/>
  <c r="I19" i="4"/>
  <c r="L21" i="5"/>
  <c r="H20" i="5"/>
  <c r="K21" i="5"/>
  <c r="H21" i="5"/>
  <c r="I20" i="4"/>
  <c r="L22" i="5"/>
  <c r="I19" i="5"/>
  <c r="K27" i="5" l="1"/>
  <c r="L25" i="5"/>
  <c r="H25" i="5"/>
  <c r="K26" i="5"/>
  <c r="L24" i="5"/>
  <c r="H28" i="5"/>
  <c r="K28" i="5"/>
  <c r="J23" i="5"/>
  <c r="I26" i="4"/>
  <c r="K22" i="4"/>
  <c r="K21" i="4"/>
  <c r="K19" i="4"/>
  <c r="K20" i="4"/>
  <c r="L19" i="5"/>
  <c r="J19" i="5"/>
  <c r="K19" i="5"/>
  <c r="H19" i="5"/>
</calcChain>
</file>

<file path=xl/sharedStrings.xml><?xml version="1.0" encoding="utf-8"?>
<sst xmlns="http://schemas.openxmlformats.org/spreadsheetml/2006/main" count="603" uniqueCount="272">
  <si>
    <t>question</t>
  </si>
  <si>
    <t>expected_sources</t>
  </si>
  <si>
    <t>expected_source_count</t>
  </si>
  <si>
    <t>expected_answer</t>
  </si>
  <si>
    <t>eval_source_count</t>
  </si>
  <si>
    <t>id</t>
  </si>
  <si>
    <t>createdAt</t>
  </si>
  <si>
    <t>updatedAt</t>
  </si>
  <si>
    <t>What login security is required for remote access and important applications?</t>
  </si>
  <si>
    <t>Document 9: IT Usage and Security Policies</t>
  </si>
  <si>
    <t>Multi-Factor Authentication (MFA)</t>
  </si>
  <si>
    <t>What technique should you use to operate a fire extinguisher?</t>
  </si>
  <si>
    <t>Document 10: Workplace Safety and Emergency Procedures</t>
  </si>
  <si>
    <t>The PASS method: Pull the pin, Aim at the base, Squeeze the trigger, Sweep side to side</t>
  </si>
  <si>
    <t>Where is the primary emergency assembly point during an evacuation?</t>
  </si>
  <si>
    <t>The parking lot across the street</t>
  </si>
  <si>
    <t>How often are employees paid?</t>
  </si>
  <si>
    <t>Document 5: Compensation, Payroll, and Promotions</t>
  </si>
  <si>
    <t>Every two weeks (bi-weekly), typically every other Friday</t>
  </si>
  <si>
    <t>Explain the process for requesting parental leave.</t>
  </si>
  <si>
    <t>Document 7: Leave and Time Off Policies</t>
  </si>
  <si>
    <t>Inform HR as early as possible (at least 30 days' notice if feasible). Primary caregivers are eligible for up to 12 weeks, with 6 weeks fully paid; the remaining 6 weeks are unpaid or can be covered using accrued vacation. Secondary caregivers get 2 weeks of paid leave. Work with HR on any FMLA paperwork.</t>
  </si>
  <si>
    <t>Walk me through the steps of the annual performance review.</t>
  </si>
  <si>
    <t>Document 8: Performance Reviews and Career Development</t>
  </si>
  <si>
    <t>Goals are set at the start of the year. The annual review (year-end, with a mid-year check-in) includes a self-assessment, a manager evaluation against goals, optional 360-degree feedback, a one-on-one review meeting, and a rating/outcome that can influence merit increases or bonuses.</t>
  </si>
  <si>
    <t>Summarize who is eligible to work remotely and what is expected of them.</t>
  </si>
  <si>
    <t>Document 3: General Employment Policies</t>
  </si>
  <si>
    <t>Many roles are eligible for remote or hybrid work; specifics (such as in-office days) are arranged with your manager. You must have a proper workspace and reliable internet, and stay fully engaged during work hours - available online, attending meetings, and meeting the same productivity expectations as in-office staff.</t>
  </si>
  <si>
    <t>What should a new hire expect on their first day?</t>
  </si>
  <si>
    <t>Document 2: Onboarding Process and New Hire Orientation</t>
  </si>
  <si>
    <t>Arrive at the front desk by 9:00 AM for HR orientation. Complete remaining paperwork (tax forms, direct deposit), receive an ID badge and an office tour, get issued equipment and log into systems, get a high-level review of key policies and benefits enrollment, and meet an assigned buddy/mentor who often hosts a welcome lunch.</t>
  </si>
  <si>
    <t>For a birth mother, how does paid parental leave coordinate with short-term disability?</t>
  </si>
  <si>
    <t>Document 6: Employee Benefits and Perks | Document 7: Leave and Time Off Policies</t>
  </si>
  <si>
    <t>Primary caregivers get up to 12 weeks of parental leave, 6 of them fully paid. For birth mothers, short-term disability (STD) typically covers 6-8 weeks of medical recovery and runs concurrently with that leave. STD is company-paid and replaces a portion of salary (generally up to 13 weeks). Coordinate the overlap and paperwork with HR.</t>
  </si>
  <si>
    <t>If I am out sick longer than my paid sick days, what covers my income?</t>
  </si>
  <si>
    <t>Full-time employees receive 10 paid sick days per year. If illness keeps you out longer, company-paid Short-Term Disability (STD) replaces a portion of your salary for a short period (generally up to 13 weeks), with Long-Term Disability available beyond that. So sick leave covers the first days and disability insurance covers an extended absence.</t>
  </si>
  <si>
    <t>How do the remote-work policy and IT equipment support work together for a home office?</t>
  </si>
  <si>
    <t>Document 3: General Employment Policies | Document 9: IT Usage and Security Policies</t>
  </si>
  <si>
    <t>Many roles are eligible for remote or hybrid work (arranged with your manager), and you must have a proper workspace and reliable internet. The company supports your home office with a stipend or company-provided equipment, and additional peripherals (e.g., a printer) can be arranged through IT/HR under its reimbursement policy. Personal laptops generally are not allowed for work - the company provides required computer equipment.</t>
  </si>
  <si>
    <t>How are annual performance reviews connected to pay raises and bonuses?</t>
  </si>
  <si>
    <t>Document 5: Compensation, Payroll, and Promotions | Document 8: Performance Reviews and Career Development</t>
  </si>
  <si>
    <t>Performance is reviewed annually (year-end, with a mid-year check-in) and given a rating. Those ratings drive compensation: the company sets an annual raise budget distributed by performance rating and market benchmarks (merit increases), and the performance-based bonus pays out when both company targets and individual goals are met. Strong reviews also support promotions, which come with a higher compensation package.</t>
  </si>
  <si>
    <t>Does ABC Inc offer pet insurance as an employee benefit?</t>
  </si>
  <si>
    <t>NA</t>
  </si>
  <si>
    <t>This is not addressed anywhere in the handbook.</t>
  </si>
  <si>
    <t>What is the company's sabbatical leave policy?</t>
  </si>
  <si>
    <t>This is not addressed anywhere in the handbook; the leave policy covers vacation, sick, personal, parental, bereavement, jury, military, and unpaid leave only.</t>
  </si>
  <si>
    <t>I’m sorry, I can’t answer that. Please contact HR.</t>
  </si>
  <si>
    <t>What is the dress code?</t>
  </si>
  <si>
    <t>Business casual - e.g., collared shirts, blouses, slacks or neat jeans, and closed-toe shoes. Fridays are casual (jeans and sneakers welcome). Remote staff may dress more casually but should be presentable for video meetings.</t>
  </si>
  <si>
    <t>Run Dashboard</t>
  </si>
  <si>
    <t>Selected-run KPIs</t>
  </si>
  <si>
    <t>Metric</t>
  </si>
  <si>
    <t>Value</t>
  </si>
  <si>
    <t>All runs avg</t>
  </si>
  <si>
    <t>Delta vs all</t>
  </si>
  <si>
    <t>Source count match %</t>
  </si>
  <si>
    <t>Measure</t>
  </si>
  <si>
    <t>Selected run</t>
  </si>
  <si>
    <t>Runs Over Time</t>
  </si>
  <si>
    <t>I’m sorry, I can’t answer that. Please contact HR</t>
  </si>
  <si>
    <t>Grand Total</t>
  </si>
  <si>
    <t>Average of eval_source_count</t>
  </si>
  <si>
    <t>eval_source_match</t>
  </si>
  <si>
    <t>faithfulness_judge</t>
  </si>
  <si>
    <t>faithfulness_judge_reason</t>
  </si>
  <si>
    <t>agent_output</t>
  </si>
  <si>
    <t>scoring_judge</t>
  </si>
  <si>
    <t>execution_id</t>
  </si>
  <si>
    <t>execution_time</t>
  </si>
  <si>
    <t>comment</t>
  </si>
  <si>
    <t>Every factual claim in the AI response is directly supported by Document 9 (IT Usage and Security Policies); no unsupported or contradictory statements were added.</t>
  </si>
  <si>
    <t>Multi-Factor Authentication (MFA) is required for remote access and important applications.^1
- Passwords: minimum 8 characters, mixed case, numbers, symbols.  
- Passphrases are recommended.  
- Key accounts require password changes every 90 days.  
- Do not reuse company passwords on other sites.  
- MFA examples: authenticator app codes or text messages.  
- Never share passwords; IT will never ask by email.
Sources: 
- ^1 [Document 9_ IT Usage and Security Policies.txt](https://raw.githubusercontent.com/tobiaszwingmann/ai-evaluations-in-n8n-building-high-quality-outputs-you-can-trust-8508000/main/documents/Document%209_%20IT%20Usage%20and%20Security%20Policies.txt)</t>
  </si>
  <si>
    <t>2026-07-15T22:52:45.649Z</t>
  </si>
  <si>
    <t>2026-07-17T05:49:45.890Z</t>
  </si>
  <si>
    <t>17313</t>
  </si>
  <si>
    <t>While the PASS steps are verbatim in Document 10, the AI response also lists Documents 1–9 by name — those filenames/claims are not present or supported by the provided source (only Document 10 was supplied).</t>
  </si>
  <si>
    <t>- Document 1_ Welcome and Company Overview.txt
- Document 2_ Onboarding Process and New Hire Orientation.txt
- Document 3_ General Employment Policies.txt
- Document 4_ Code of Conduct and Ethics.txt
- Document 5_ Compensation, Payroll, and Promotions.txt
- Document 6_ Employee Benefits and Perks.txt
- Document 7_ Leave and Time Off Policies.txt
- Document 8_ Performance Reviews and Career Development.txt
- Document 9_ IT Usage and Security Policies.txt
- Document 10_ Workplace Safety and Emergency Procedures.txt
Relevant file: Document 10_ Workplace Safety and Emergency Procedures.txt
Use the PASS method when operating a fire extinguisher: Pull the pin. Aim at the base of the fire. Squeeze the trigger. Sweep side to side.^1
Sources:
- ^1 [Document 10_ Workplace Safety and Emergency Procedures.txt](https://raw.githubusercontent.com/tobiaszwingmann/ai-evaluations-in-n8n-building-high-quality-outputs-you-can-trust-8508000/main/documents/Document%2010_%20Workplace%20Safety%20and%20Emergency%20Procedures.txt)</t>
  </si>
  <si>
    <t>2026-07-17T05:50:17.066Z</t>
  </si>
  <si>
    <t>The statement matches Document 10’s Emergency Exits and Evacuation section which specifies the primary assembly point is the parking lot across the street (or designated spot on the evacuation map) and instructs personnel to check in with their supervisor or warden.</t>
  </si>
  <si>
    <t>The primary assembly point is the parking lot across the street, or the designated spot on the evacuation map. Check in with your supervisor or the warden so we can account for everyone.^1
Sources:
- ^1 [Document 10_ Workplace Safety and Emergency Procedures.txt](https://raw.githubusercontent.com/tobiaszwingmann/ai-evaluations-in-n8n-building-high-quality-outputs-you-can-trust-8508000/main/documents/Document%2010_%20Workplace%20Safety%20and%20Emergency%20Procedures.txt)</t>
  </si>
  <si>
    <t>2026-07-17T05:50:58.527Z</t>
  </si>
  <si>
    <t>All factual claims (bi-weekly schedule, every other Friday, pay period ending about one week before pay date) are directly supported by Document 5; the listed files match the repository listing and no unsupported information was added.</t>
  </si>
  <si>
    <t>Available files:
- Document 1_ Welcome and Company Overview.txt
- Document 2_ Onboarding Process and New Hire Orientation.txt
- Document 3_ General Employment Policies.txt
- Document 4_ Code of Conduct and Ethics.txt
- Document 5_ Compensation, Payroll, and Promotions.txt
- Document 6_ Employee Benefits and Perks.txt
- Document 7_ Leave and Time Off Policies.txt
- Document 8_ Performance Reviews and Career Development.txt
- Document 9_ IT Usage and Security Policies.txt
- Document 10_ Workplace Safety and Emergency Procedures.txt
Relevant file:
- Document 5_ Compensation, Payroll, and Promotions.txt
Employees are paid on a bi-weekly payroll schedule. Paychecks are issued every two weeks, typically every other Friday. Each paycheck covers the two-week pay period that ended about one week before the pay date.^1
Sources:
- ^1 [Document 5_ Compensation, Payroll, and Promotions.txt](https://raw.githubusercontent.com/tobiaszwingmann/ai-evaluations-in-n8n-building-high-quality-outputs-you-can-trust-8508000/main/documents/Document%205_%20Compensation%2C%20Payroll%2C%20and%20Promotions.txt)</t>
  </si>
  <si>
    <t>2026-07-17T05:51:28.750Z</t>
  </si>
  <si>
    <t>All listed files and every factual claim about the parental leave process (notice, HR system request and manager approval, additional forms/FMLA, timing options, 12-week primary caregiver leave with 6 weeks paid, 2 weeks paid for secondary caregivers, STD concurrency for birth mothers, and benefits coordination) are directly supported by Document 7: Leave and Time Off Policies.</t>
  </si>
  <si>
    <t>Available files:
- Document 1_ Welcome and Company Overview.txt
- Document 2_ Onboarding Process and New Hire Orientation.txt
- Document 3_ General Employment Policies.txt
- Document 4_ Code of Conduct and Ethics.txt
- Document 5_ Compensation, Payroll, and Promotions.txt
- Document 6_ Employee Benefits and Perks.txt
- Document 7_ Leave and Time Off Policies.txt
- Document 8_ Performance Reviews and Career Development.txt
- Document 9_ IT Usage and Security Policies.txt
- Document 10_ Workplace Safety and Emergency Procedures.txt
Most relevant file:
- Document 7_ Leave and Time Off Policies.txt
Process to request parental leave:
- Inform HR as early as possible. Provide 30 days notice if feasible.^1
- Submit a leave request through the HR system. Manager approves online.^1
- Work with HR to complete additional forms. FMLA may apply.^1
- Choose timing: continuous after birth/adoption, or flexible within year.^1
- For primary caregivers: up to 12 weeks total parental leave.^1
- Company pays first 6 weeks fully for primary caregivers.^1
- Remaining 6 weeks may be unpaid or covered using accrued vacation.^1
- Secondary caregivers receive 2 weeks paid parental leave.^1
- Birth mothers: short-term disability may run concurrently.^1
- Coordinate benefits with HR. Paid leave preserves salary and benefits.^1
Sources:
- ^1 [Document 7_ Leave and Time Off Policies.txt](https://raw.githubusercontent.com/tobiaszwingmann/ai-evaluations-in-n8n-building-high-quality-outputs-you-can-trust-8508000/main/documents/Document%207_%20Leave%20and%20Time%20Off%20Policies.txt)</t>
  </si>
  <si>
    <t>2026-07-17T05:52:16.162Z</t>
  </si>
  <si>
    <t>All listed steps and claims are directly supported by Document 8 (Performance Reviews and Career Development). The summary accurately reflects the document’s statements (annual year-end review with mid-year check-in, SMART goals, self-assessment, manager evaluation, optional 360 feedback, review meeting, ratings affecting pay, ongoing feedback, evaluation criteria, career development, training/mentorship, PIPs, and feedback culture).</t>
  </si>
  <si>
    <t>Available files:
- Document 1_ Welcome and Company Overview.txt
- Document 2_ Onboarding Process and New Hire Orientation.txt
- Document 3_ General Employment Policies.txt
- Document 4_ Code of Conduct and Ethics.txt
- Document 5_ Compensation, Payroll, and Promotions.txt
- Document 6_ Employee Benefits and Perks.txt
- Document 7_ Leave and Time Off Policies.txt
- Document 8_ Performance Reviews and Career Development.txt
- Document 9_ IT Usage and Security Policies.txt
- Document 10_ Workplace Safety and Emergency Procedures.txt
Relevant file:
- Document 8_ Performance Reviews and Career Development.txt
Steps of the annual performance review:
- Annual formal review at year-end; mid-year check-in occurs.
- Set SMART goals with your manager at cycle start.
- Complete self-assessment highlighting achievements and improvements.
- Manager evaluates performance against role expectations and goals.
- 360-degree feedback gathered when applicable.
- One-on-one review meeting to discuss feedback and development.
- Outcome includes rating; may affect pay or bonuses.
- Ongoing check-ins and continuous feedback throughout year.
- Evaluation criteria: goals, job knowledge, quality, productivity.
- Discuss career development plan and internal promotion interest.
- Use training, mentorship, and learning resources for growth.
- If underperforming, a Performance Improvement Plan may apply.
- Feedback culture encourages peer and manager feedback.
Sources:
- ^1 [Document 8_ Performance Reviews and Career Development.txt](https://raw.githubusercontent.com/tobiaszwingmann/ai-evaluations-in-n8n-building-high-quality-outputs-you-can-trust-8508000/main/documents/Document%208_%20Performance%20Reviews%20and%20Career%20Development.txt)</t>
  </si>
  <si>
    <t>2026-07-17T05:52:59.843Z</t>
  </si>
  <si>
    <t>Mostly accurate but not fully faithful: the summary states company equipment is for "business purposes only," while Document 9 allows limited personal use in moderation. This absolute phrasing and omission of that nuance makes the response unsupported by the sources.</t>
  </si>
  <si>
    <t>Available files:
- Document 1_ Welcome and Company Overview.txt
- Document 2_ Onboarding Process and New Hire Orientation.txt
- Document 3_ General Employment Policies.txt
- Document 4_ Code of Conduct and Ethics.txt
- Document 5_ Compensation, Payroll, and Promotions.txt
- Document 6_ Employee Benefits and Perks.txt
- Document 7_ Leave and Time Off Policies.txt
- Document 8_ Performance Reviews and Career Development.txt
- Document 9_ IT Usage and Security Policies.txt
- Document 10_ Workplace Safety and Emergency Procedures.txt
Most relevant files:
- Document 3_ General Employment Policies.txt
- Document 9_ IT Usage and Security Policies.txt
Summary — who is eligible:
- Roles that allow remote or hybrid work are eligible.
- Eligibility depends on position and team needs.
- Manager and employee discuss specific remote eligibility. ^1
Summary — expectations for remote workers:
- Maintain a proper home workspace and reliable internet.
- Be fully engaged and available during work hours.
- Attend meetings and match in-office productivity levels.
- Follow department hybrid work guidelines when applicable.
- Use company equipment for business purposes only.
- Secure devices with passwords, MFA, and encryption.
- Enroll personal mobile devices for work in MDM.
- Report lost, stolen, or damaged equipment to IT.
- Personal laptops require specific authorization to use. ^1 ^2
Sources:
- ^1 [Document 3_ General Employment Policies.txt](https://raw.githubusercontent.com/tobiaszwingmann/ai-evaluations-in-n8n-building-high-quality-outputs-you-can-trust-8508000/main/documents/Document%203_%20General%20Employment%20Policies.txt)
- ^2 [Document 9_ IT Usage and Security Policies.txt](https://raw.githubusercontent.com/tobiaszwingmann/ai-evaluations-in-n8n-building-high-quality-outputs-you-can-trust-8508000/main/documents/Document%209_%20IT%20Usage%20and%20Security%20Policies.txt)</t>
  </si>
  <si>
    <t>2026-07-17T05:53:38.946Z</t>
  </si>
  <si>
    <t>Each claim (file list, relevancy, and every first-day bullet) is directly supported by Document 2 (Onboarding) and/or Document 1 (Welcome). No unsupported or contradictory content was added.</t>
  </si>
  <si>
    <t>Available files:
- Document 1 — Welcome and Company Overview
- Document 2 — Onboarding Process and Orientation
- Document 3 — General Employment Policies
- Document 4 — Code of Conduct and Ethics
- Document 5 — Compensation, Payroll, and Promotions
- Document 6 — Employee Benefits and Perks
- Document 7 — Leave and Time Off Policies
- Document 8 — Performance Reviews and Career Development
- Document 9 — IT Usage and Security Policies
- Document 10 — Workplace Safety and Emergency Procedures
Most relevant:
- Document 2 — Onboarding Process and Orientation
- Document 1 — Welcome and Company Overview
What to expect on your first day:
- Arrive at the front desk by 9:00 AM.  
- Greeted by HR for orientation.  
- Complete remaining new hire paperwork.  
- Receive company ID badge and office tour.  
- Get issued equipment (laptop, access card).  
- Help logging into email and systems.  
- High-level review of company policies.  
- Brief benefits enrollment overview.  
- Paired with a buddy or mentor.  
- Opportunity to ask initial questions.
Sources:
- ^1 [Document 2_ Onboarding Process and New Hire Orientation.txt](https://raw.githubusercontent.com/tobiaszwingmann/ai-evaluations-in-n8n-building-high-quality-outputs-you-can-trust-8508000/main/documents/Document%202_%20Onboarding%20Process%20and%20New%20Hire%20Orientation.txt)  
- ^2 [Document 1_ Welcome and Company Overview.txt](https://raw.githubusercontent.com/tobiaszwingmann/ai-evaluations-in-n8n-building-high-quality-outputs-you-can-trust-8508000/main/documents/Document%201_%20Welcome%20and%20Company%20Overview.txt)</t>
  </si>
  <si>
    <t>2026-07-17T05:54:14.044Z</t>
  </si>
  <si>
    <t>All statements are supported by the cited documents: Document 7 states primary caregivers get up to 12 weeks, 6 weeks paid and remaining 6 unpaid or via vacation, and notes STD covers ~6–8 weeks and runs concurrently for birth mothers; Document 6 describes STD paying part of salary for generally up to 13 weeks. No unsupported claims found.</t>
  </si>
  <si>
    <t>Short-term disability (STD) typically covers 6–8 weeks of medical recovery and runs concurrently with parental leave for birth mothers.^1,2  
Primary caregivers are eligible for up to 12 weeks of parental leave.^1  
The company provides 6 weeks of parental leave fully paid; the remaining 6 weeks may be unpaid or covered by accrued vacation.^1  
STD pays a portion of salary and can cover short-term disability for up to about 13 weeks.^2
Sources:  
- ^1 [Document 7_ Leave and Time Off Policies.txt](https://raw.githubusercontent.com/tobiaszwingmann/ai-evaluations-in-n8n-building-high-quality-outputs-you-can-trust-8508000/main/documents/Document%207_%20Leave%20and%20Time%20Off%20Policies.txt)  
- ^2 [Document 6_ Employee Benefits and Perks.txt](https://raw.githubusercontent.com/tobiaszwingmann/ai-evaluations-in-n8n-building-high-quality-outputs-you-can-trust-8508000/main/documents/Document%206_%20Employee%20Benefits%20and%20Perks.txt)</t>
  </si>
  <si>
    <t>2026-07-17T05:54:55.179Z</t>
  </si>
  <si>
    <t>Four of five points are supported (STD pays a portion of salary; LTD can continue income; unpaid leave can be requested; accrued vacation may be used during leave). However the statement “FMLA … is unpaid” is an overgeneralization: Document 7 confirms FMLA provides up to 12 weeks of job‑protected leave and gives an example of FMLA being unpaid, but the policy also describes paid parental leave that can run with/alongside FMLA (e.g., 6 weeks paid, remaining 6 weeks unpaid or use vacation). Thus characterizing FMLA as simply ‘unpaid’ is not fully supported.</t>
  </si>
  <si>
    <t>Available files:
- Document 1_ Welcome and Company Overview.txt
- Document 2_ Onboarding Process and New Hire Orientation.txt
- Document 3_ General Employment Policies.txt
- Document 4_ Code of Conduct and Ethics.txt
- Document 5_ Compensation, Payroll, and Promotions.txt
- Document 6_ Employee Benefits and Perks.txt
- Document 7_ Leave and Time Off Policies.txt
- Document 8_ Performance Reviews and Career Development.txt
- Document 9_ IT Usage and Security Policies.txt
- Document 10_ Workplace Safety and Emergency Procedures.txt
Relevant files:
- Document 6_ Employee Benefits and Perks.txt
- Document 7_ Leave and Time Off Policies.txt
Answer:
- Short‑term disability (STD) can pay part of your salary. ^1  
- Long‑term disability (LTD) may provide income after STD ends. ^1  
- FMLA gives up to 12 weeks job protection, but is unpaid. ^2  
- You can request unpaid leave of absence if needed. ^2  
- You may use accrued vacation to receive pay during leave. ^2
Sources:
- ^1 [Document 6_ Employee Benefits and Perks.txt](https://raw.githubusercontent.com/tobiaszwingmann/ai-evaluations-in-n8n-building-high-quality-outputs-you-can-trust-8508000/main/documents/Document%206_%20Employee%20Benefits%20and%20Perks.txt)  
- ^2 [Document 7_ Leave and Time Off Policies.txt](https://raw.githubusercontent.com/tobiaszwingmann/ai-evaluations-in-n8n-building-high-quality-outputs-you-can-trust-8508000/main/documents/Document%207_%20Leave%20and%20Time%20Off%20Policies.txt)</t>
  </si>
  <si>
    <t>2026-07-17T05:55:51.475Z</t>
  </si>
  <si>
    <t>Each factual claim in the AI response is directly supported by the cited documents (Doc 3, Doc 9, Doc 10) — remote-work requirements and stipend (Doc 3), IT equipment and security rules including encryption/passwords/MFA/MDM and personal laptop restrictions plus reimbursement for peripherals (Doc 9), and ergonomics assessments availability (Doc 10). No unsupported or contradictory information found.</t>
  </si>
  <si>
    <t>Available files:
- Document 1_ Welcome and Company Overview.txt
- Document 2_ Onboarding Process and New Hire Orientation.txt
- Document 3_ General Employment Policies.txt
- Document 4_ Code of Conduct and Ethics.txt
- Document 5_ Compensation, Payroll, and Promotions.txt
- Document 6_ Employee Benefits and Perks.txt
- Document 7_ Leave and Time Off Policies.txt
- Document 8_ Performance Reviews and Career Development.txt
- Document 9_ IT Usage and Security Policies.txt
- Document 10_ Workplace Safety and Emergency Procedures.txt
Most relevant files:
- Document 3_ General Employment Policies.txt
- Document 9_ IT Usage and Security Policies.txt
- Document 10_ Workplace Safety and Emergency Procedures.txt
How they work together for a home office:
- Remote-work policy requires a proper workspace and reliable internet.^1
- Remote policy may provide a stipend or company equipment.^1
- IT policy provides laptops, monitors, phones, and peripherals.^2
- IT enforces security: encryption, strong passwords, and MFA.^2
- Personal devices must meet security rules or enroll in MDM.^2
- Personal laptops are disallowed unless expressly authorized.^2
- Special equipment needs (printers) handled by IT/HR reimbursement.^2
- Ergonomics support and assessments available upon request.^3
Sources:
- ^1 [Document 3_ General Employment Policies.txt](https://raw.githubusercontent.com/tobiaszwingmann/ai-evaluations-in-n8n-building-high-quality-outputs-you-can-trust-8508000/main/documents/Document%203_%20General%20Employment%20Policies.txt)
- ^2 [Document 9_ IT Usage and Security Policies.txt](https://raw.githubusercontent.com/tobiaszwingmann/ai-evaluations-in-n8n-building-high-quality-outputs-you-can-trust-8508000/main/documents/Document%209_%20IT%20Usage%20and%20Security%20Policies.txt)
- ^3 [Document 10_ Workplace Safety and Emergency Procedures.txt](https://raw.githubusercontent.com/tobiaszwingmann/ai-evaluations-in-n8n-building-high-quality-outputs-you-can-trust-8508000/main/documents/Document%2010_%20Workplace%20Safety%20and%20Emergency%20Procedures.txt)</t>
  </si>
  <si>
    <t>2026-07-17T05:56:31.692Z</t>
  </si>
  <si>
    <t>All five claims are directly supported by Document 8 and Document 5: annual reviews include goals and ratings; ratings feed merit increases/bonuses; bonuses are discretionary and tied to company and individual performance; the company sets an annual raise budget allocated by ratings; promotions considered during reviews include adjusted compensation. No unsupported information added.</t>
  </si>
  <si>
    <t>Available files:
- Document 1_ Welcome and Company Overview
- Document 2_ Onboarding Process and New Hire Orientation
- Document 3_ General Employment Policies
- Document 4_ Code of Conduct and Ethics
- Document 5_ Compensation, Payroll, and Promotions
- Document 6_ Employee Benefits and Perks
- Document 7_ Leave and Time Off Policies
- Document 8_ Performance Reviews and Career Development
- Document 9_ IT Usage and Security Policies
- Document 10_ Workplace Safety and Emergency Procedures
Relevant files:
- Document 8_ Performance Reviews and Career Development
- Document 5_ Compensation, Payroll, and Promotions
Answer:
- Annual reviews assess goals and assign performance ratings.
- Ratings can influence merit pay increases and bonuses.
- Bonuses are discretionary; tied to company and individual performance.
- Company sets a yearly raise budget, allocated by ratings.
- Promotions considered during reviews include adjusted compensation.
Sources:
- ^1 [Document 8_ Performance Reviews and Career Development.txt](https://raw.githubusercontent.com/tobiaszwingmann/ai-evaluations-in-n8n-building-high-quality-outputs-you-can-trust-8508000/main/documents/Document%208_%20Performance%20Reviews%20and%20Career%20Development.txt)
- ^2 [Document 5_ Compensation, Payroll, and Promotions.txt](https://raw.githubusercontent.com/tobiaszwingmann/ai-evaluations-in-n8n-building-high-quality-outputs-you-can-trust-8508000/main/documents/Document%205_%20Compensation%2C%20Payroll%2C%20and%20Promotions.txt)</t>
  </si>
  <si>
    <t>2026-07-17T05:57:14.924Z</t>
  </si>
  <si>
    <t>Unsupported — none of the provided documents justify the assistant refusing to answer and directing the user to contact HR; the response is not supported by the source material.</t>
  </si>
  <si>
    <t>2026-07-17T05:57:43.175Z</t>
  </si>
  <si>
    <t>No source was provided to support the refusal or the instruction to contact HR; the response contains unsupported claims and cannot be verified.</t>
  </si>
  <si>
    <t>2026-07-17T05:57:58.288Z</t>
  </si>
  <si>
    <t>All factual claims in the AI response (business-casual dress code, examples, Friday casuals, remote video-presentable guidance, and possible team-specific requirements) are directly supported by the cited Document 3 content.</t>
  </si>
  <si>
    <t>Available files:
- Document 1: Welcome and Company Overview
- Document 2: Onboarding Process and Orientation
- Document 3: General Employment Policies
- Document 4: Code of Conduct and Ethics
- Document 5: Compensation, Payroll, Promotions
- Document 6: Employee Benefits and Perks
- Document 7: Leave and Time Off Policies
- Document 8: Performance Reviews and Development
- Document 9: IT Usage and Security Policies
- Document 10: Workplace Safety and Emergency Procedures
Relevant file:
- Document 3: General Employment Policies
Dress code: business-casual. Examples: collared shirts, blouses, slacks, neat jeans, closed-toe shoes. Fridays are casual dress days; jeans and sneakers allowed. Remote work: dress more casual but be presentable on video. Some teams may have specific attire requirements from managers.^1
Sources:
- ^1 [Document 3_ General Employment Policies.txt](https://raw.githubusercontent.com/tobiaszwingmann/ai-evaluations-in-n8n-building-high-quality-outputs-you-can-trust-8508000/main/documents/Document%203_%20General%20Employment%20Policies.txt)</t>
  </si>
  <si>
    <t>2026-07-17T05:58:30.956Z</t>
  </si>
  <si>
    <t>gpt-5-mini medium</t>
  </si>
  <si>
    <t>All statements are directly supported by Document 9: it mandates MFA for remote access/important apps (authenticator app code or text), specifies strong passwords with letters/numbers/symbols, enforces 90-day password changes for key accounts, and forbids reusing company passwords.</t>
  </si>
  <si>
    <t>Remote access and important applications require Multi-Factor Authentication (MFA).  
You must use a second step, such as an authenticator app code or text message.  
Also, use strong passwords with letters, numbers, and symbols.  
Passwords should be changed every 90 days for key accounts.  
Do not reuse your company password.[^1]
Sources:  
- [Document 9_ IT Usage and Security Policies.txt](https://raw.githubusercontent.com/tobiaszwingmann/ai-evaluations-in-n8n-building-high-quality-outputs-you-can-trust-8508000/main/documents/Document%209_%20IT%20Usage%20and%20Security%20Policies.txt)  
[^1]: Document 9_ IT Usage and Security Policies.txt, URL above.</t>
  </si>
  <si>
    <t>2026-07-17T14:01:25.461Z</t>
  </si>
  <si>
    <t>17342</t>
  </si>
  <si>
    <t>Document 10’s Fire Safety section explicitly lists the PASS steps (Pull pin; Aim at base; Squeeze; Sweep) and states fire extinguishers should be used only if trained and for very small/incipient fires.</t>
  </si>
  <si>
    <t>Use the PASS method: Pull the pin, Aim at the base, Squeeze the trigger, and Sweep side to side. Use it only for very small fires and only if trained. ^1
Sources:
- ^1 [Document 10_ Workplace Safety and Emergency Procedures.txt](https://raw.githubusercontent.com/tobiaszwingmann/ai-evaluations-in-n8n-building-high-quality-outputs-you-can-trust-8508000/main/documents/Document%2010_%20Workplace%20Safety%20and%20Emergency%20Procedures.txt)</t>
  </si>
  <si>
    <t>2026-07-17T14:01:53.689Z</t>
  </si>
  <si>
    <t>Document 10’s evacuation section explicitly states: “Our primary assembly point is the parking lot across the street (or a designated spot noted on the evacuation map),” so the AI response is fully supported by the source.</t>
  </si>
  <si>
    <t>The primary assembly point is the parking lot across the street. If needed, use the designated spot on the evacuation map. ^1
Sources:
- ^1 [Document 10_ Workplace Safety and Emergency Procedures.txt](https://api.github.com/repos/tobiaszwingmann/ai-evaluations-in-n8n-building-high-quality-outputs-you-can-trust-8508000/contents/documents/Document%2010_%20Workplace%20Safety%20and%20Emergency%20Procedures.txt?ref=main)</t>
  </si>
  <si>
    <t>2026-07-17T14:02:18.664Z</t>
  </si>
  <si>
    <t>Document 5 (Compensation, Payroll, and Promotions) explicitly states the company operates on a bi-weekly payroll: paychecks every two weeks, typically every other Friday.</t>
  </si>
  <si>
    <t>Employees are paid bi-weekly.  
That means every two weeks, typically every other Friday.¹
Sources:  
- ^1 [Document 5_ Compensation, Payroll, and Promotions.txt](https://raw.githubusercontent.com/tobiaszwingmann/ai-evaluations-in-n8n-building-high-quality-outputs-you-can-trust-8508000/main/documents/Document%205_%20Compensation%2C%20Payroll%2C%20and%20Promotions.txt)</t>
  </si>
  <si>
    <t>2026-07-17T14:02:50.004Z</t>
  </si>
  <si>
    <t>All six bullet points are directly supported by Document 7: it instructs employees to inform HR as early as possible (at least 30 days when feasible), to work with HR to complete required forms (especially for FMLA), states parental leave may be continuous or taken flexibly within the first year, and notes flexible arrangements require manager approval and HR/FMLA coordination.</t>
  </si>
  <si>
    <t>To request parental leave:
- Inform HR as early as possible.
- Give at least 30 days’ notice, if feasible.
- Submit any required forms with HR.
- The leave can be continuous or flexible.
- Flexible leave needs manager approval.
- HR will help if FMLA applies. [^1]
[^1]: Document 7_ Leave and Time Off Policies.txt — https://raw.githubusercontent.com/tobiaszwingmann/ai-evaluations-in-n8n-building-high-quality-outputs-you-can-trust-8508000/main/documents/Document%207_%20Leave%20and%20Time%20Off%20Policies.txt
Sources:
- ^1 [Document 7_ Leave and Time Off Policies.txt](https://raw.githubusercontent.com/tobiaszwingmann/ai-evaluations-in-n8n-building-high-quality-outputs-you-can-trust-8508000/main/documents/Document%207_%20Leave%20and%20Time%20Off%20Policies.txt)</t>
  </si>
  <si>
    <t>2026-07-17T14:03:30.889Z</t>
  </si>
  <si>
    <t>Each step in the AI response (goals set at cycle start, self-assessment, manager evaluation, optional 360-degree/peer feedback, one-on-one review meeting, and ratings/outcomes that can affect pay/bonuses) is explicitly described in Document 8: Performance Reviews and Career Development, so the summary is faithful to the source.</t>
  </si>
  <si>
    <t>Here’s the annual performance review process: You and your manager set goals at the start of the cycle. You complete a self-assessment. Your manager evaluates your performance. Some teams also use 360-degree feedback. Then you meet one-on-one to discuss feedback, achievements, and career goals. A rating and outcome may follow, and can affect pay or bonuses.^1
- Goals set at cycle start.
- Complete your self-assessment.
- Manager reviews your performance.
- Optional peer feedback may be collected.
- Hold a review meeting.
- Review rating and outcome.
Sources:  
- ^1 [Document 8_ Performance Reviews and Career Development.txt](https://api.github.com/repos/tobiaszwingmann/ai-evaluations-in-n8n-building-high-quality-outputs-you-can-trust-8508000/contents/documents/Document%208_%20Performance%20Reviews%20and%20Career%20Development.txt?ref=main)</t>
  </si>
  <si>
    <t>2026-07-17T14:04:06.321Z</t>
  </si>
  <si>
    <t>All statements are directly supported by Document 3: it states many roles allow remote work part-time or full-time depending on team needs; eligibility and schedules are discussed with managers; and remote employees must have a proper workspace and reliable internet, be available/attend meetings, and meet productivity expectations similar to in-office staff.</t>
  </si>
  <si>
    <t>Remote work is available in many roles, either part-time or full-time, depending on team needs. If a position is eligible, the manager will discuss the schedule and any hybrid details. Remote employees are expected to have a proper workspace and reliable internet, stay fully engaged during work hours, be available online, attend meetings, and meet the same productivity expectations as in-office staff.^1
Sources:  
- ^1 [Document 3_ General Employment Policies.txt](https://raw.githubusercontent.com/tobiaszwingmann/ai-evaluations-in-n8n-building-high-quality-outputs-you-can-trust-8508000/main/documents/Document%203_%20General%20Employment%20Policies.txt)</t>
  </si>
  <si>
    <t>2026-07-17T14:05:06.100Z</t>
  </si>
  <si>
    <t>All statements (9:00 AM arrival; HR orientation; completion of paperwork; ID badge; equipment issuance and system access; office tour; high-level policy review; benefits enrollment overview; pairing with a buddy who may take them to lunch) are explicitly supported by Document 2 (and Document 1’s onboarding reference). No unsupported additions.</t>
  </si>
  <si>
    <t>On the first day, a new hire should arrive at the front desk by 9:00 AM. HR will give a brief orientation, finish any remaining paperwork, provide an ID badge, issue equipment, and help with system access. The day also includes a tour, a high-level policy review, benefits enrollment information, and answers to initial questions. New hires are also paired with a buddy or mentor, who may take them to lunch. ^1 ^2
Sources:  
- ^1 [Document 1_ Welcome and Company Overview.txt](https://github.com/tobiaszwingmann/ai-evaluations-in-n8n-building-high-quality-outputs-you-can-trust-8508000/blob/main/documents/Document%201_%20Welcome%20and%20Company%20Overview.txt)  
- ^2 [Document 2_ Onboarding Process and New Hire Orientation.txt](https://github.com/tobiaszwingmann/ai-evaluations-in-n8n-building-high-quality-outputs-you-can-trust-8508000/blob/main/documents/Document%202_%20Onboarding%20Process%20and%20New%20Hire%20Orientation.txt)</t>
  </si>
  <si>
    <t>2026-07-17T14:06:30.481Z</t>
  </si>
  <si>
    <t>All statements (STD concurrent with parental leave for birth mothers; STD typically 6–8 weeks; primary caregivers eligible for up to 12 weeks with 6 weeks paid and remaining 6 unpaid or via accrued vacation) are explicitly supported by Document 7 and consistent with Document 6.</t>
  </si>
  <si>
    <t>For a birth mother, short-term disability runs concurrently with parental leave. STD typically covers 6–8 weeks of medical recovery time. Parental leave is separate and can provide up to 12 weeks total for primary caregivers, with 6 weeks fully paid by the company and the remaining 6 weeks unpaid or covered by accrued vacation. [^1][^2]
Sources:  
- [^1] [Document 7_ Leave and Time Off Policies.txt](https://raw.githubusercontent.com/tobiaszwingmann/ai-evaluations-in-n8n-building-high-quality-outputs-you-can-trust-8508000/main/documents/Document%207_%20Leave%20and%20Time%20Off%20Policies.txt)  
- [^2] [Document 6_ Employee Benefits and Perks.txt](https://raw.githubusercontent.com/tobiaszwingmann/ai-evaluations-in-n8n-building-high-quality-outputs-you-can-trust-8508000/main/documents/Document%206_%20Employee%20Benefits%20and%20Perks.txt)</t>
  </si>
  <si>
    <t>2026-07-17T14:07:24.204Z</t>
  </si>
  <si>
    <t>All claims are supported by the provided documents: Document 6 states STD pays a portion of salary generally up to 13 weeks and LTD continues beyond that; Document 7 explains paid sick leave and that unpaid leave can be requested after paid leave is exhausted.</t>
  </si>
  <si>
    <t>If you’re out sick after paid sick days run out, **short-term disability** may pay a portion of your salary for a period of illness or injury, generally up to **13 weeks**. If the illness lasts longer, **long-term disability** may continue income support beyond the short-term period. If you still need time off after paid leave, you may also request an **unpaid leave of absence**. ^1 ^2
Sources:  
- ^1 [Document 6_ Employee Benefits and Perks.txt](https://raw.githubusercontent.com/tobiaszwingmann/ai-evaluations-in-n8n-building-high-quality-outputs-you-can-trust-8508000/main/documents/Document%206_%20Employee%20Benefits%20and%20Perks.txt)  
- ^2 [Document 7_ Leave and Time Off Policies.txt](https://raw.githubusercontent.com/tobiaszwingmann/ai-evaluations-in-n8n-building-high-quality-outputs-you-can-trust-8508000/main/documents/Document%207_%20Leave%20and%20Time%20Off%20Policies.txt)</t>
  </si>
  <si>
    <t>2026-07-17T14:08:01.433Z</t>
  </si>
  <si>
    <t>All claims in the AI response are directly supported by the cited documents (Document 3 and Document 9): workspace/internet requirement, stipend/equipment provision, company-provided devices, MFA for remote access, arranging peripherals/software through IT, and reporting damaged/lost equipment to IT are all stated in the sources.</t>
  </si>
  <si>
    <t>For a home office, remote work must have a proper workspace and reliable internet. The company may provide a stipend or equipment to support the setup. IT supplies needed devices, like a laptop, monitor, or phone. Remote access uses MFA. Extra peripherals or approved software can be arranged through IT. Report lost, damaged, or malfunctioning equipment to IT right away. ^1^2
Sources:  
- ^1 [Document 3_ General Employment Policies.txt](https://raw.githubusercontent.com/tobiaszwingmann/ai-evaluations-in-n8n-building-high-quality-outputs-you-can-trust-8508000/main/documents/Document%203_%20General%20Employment%20Policies.txt)  
- ^2 [Document 9_ IT Usage and Security Policies.txt](https://raw.githubusercontent.com/tobiaszwingmann/ai-evaluations-in-n8n-building-high-quality-outputs-you-can-trust-8508000/main/documents/Document%209_%20IT%20Usage%20and%20Security%20Policies.txt)</t>
  </si>
  <si>
    <t>2026-07-17T14:09:03.565Z</t>
  </si>
  <si>
    <t>All claims are directly supported by Document 5 and Document 8: annual reviews influence merit increases/bonuses; raises are considered annually with budgets allocated based on performance ratings, market benchmarks, and other factors; year-end bonuses depend on company financial targets and individual goals; bonus criteria are communicated (typically during review season).</t>
  </si>
  <si>
    <t>Annual performance reviews can influence merit pay raises and bonuses. Reviews are used to assess performance, and the outcome may affect salary increases or bonuses. Raises are considered annually, with budgets distributed based on performance ratings, market benchmarks, and other factors. Bonuses may be offered at year-end if the company meets financial targets and you meet or exceed your goals. Bonus criteria are typically shared during review season.^1 ^2
Sources:
- ^1 [Document 8_ Performance Reviews and Career Development.txt](https://raw.githubusercontent.com/tobiaszwingmann/ai-evaluations-in-n8n-building-high-quality-outputs-you-can-trust-8508000/main/documents/Document%208_%20Performance%20Reviews%20and%20Career%20Development.txt)
- ^2 [Document 5_ Compensation, Payroll, and Promotions.txt](https://raw.githubusercontent.com/tobiaszwingmann/ai-evaluations-in-n8n-building-high-quality-outputs-you-can-trust-8508000/main/documents/Document%205_%20Compensation,%20Payroll,%20and%20Promotions.txt)</t>
  </si>
  <si>
    <t>2026-07-17T14:09:39.329Z</t>
  </si>
  <si>
    <t>The response asserts the handbook contains no information but provides no evidence. The assistant only listed file names and did not search document contents; given the repository includes multiple handbook documents, the claim of 'not addressed anywhere' is unsupported.</t>
  </si>
  <si>
    <t>“This is not addressed anywhere in the handbook. Please contact HR.”</t>
  </si>
  <si>
    <t>2026-07-17T14:09:58.543Z</t>
  </si>
  <si>
    <t>The response asserts the handbook contains no information on the unspecified topic and directs to contact HR, but provides no evidence and the available handbook documents cover many topics; the claim of 'not addressed anywhere' is unsupported/ unverifiable from the source.</t>
  </si>
  <si>
    <t>This is not addressed anywhere in the handbook. Please contact HR.</t>
  </si>
  <si>
    <t>2026-07-17T14:10:19.064Z</t>
  </si>
  <si>
    <t>Every claim in the AI response is directly supported by Document 3 (General Employment Policies) — the dress code, examples of acceptable clothing, closed-toe shoes, casual Fridays, remote-worker guidance, and team-specific requirements all appear in the source.</t>
  </si>
  <si>
    <t>The dress code is business-casual.  
- Collared shirts, blouses, slacks, or neat jeans are fine.  
- Closed-toe shoes are generally fine.  
- Fridays allow jeans and sneakers.  
- Remote workers may dress more casually.  
- Client-facing or special teams may have extra requirements. [^1]
Sources:  
- ^1 [Document 3_ General Employment Policies.txt](https://github.com/tobiaszwingmann/ai-evaluations-in-n8n-building-high-quality-outputs-you-can-trust-8508000/blob/main/documents/Document%203_%20General%20Employment%20Policies.txt)</t>
  </si>
  <si>
    <t>2026-07-17T14:10:44.019Z</t>
  </si>
  <si>
    <t>gpt-5.4-mini medium</t>
  </si>
  <si>
    <t>All listed claims (MFA for remote access and important apps, second-step options, password length/complexity, 90-day changes for key accounts, do not share/IT will not ask, report compromise) are explicitly stated in Document 9.</t>
  </si>
  <si>
    <t>Multi‑Factor Authentication (MFA) is required for remote access and important applications.^1
- Multi‑Factor Authentication required for remote access.
- Second step: authenticator app or text message.
- Strong passwords: minimum eight characters, mixed character types.
- Password changes every 90 days for key accounts.
- Do not share passwords; IT will never ask.
- Report suspected account compromise to IT immediately.^1
Sources:
- ^1 [Document 9_ IT Usage and Security Policies.txt](https://raw.githubusercontent.com/tobiaszwingmann/ai-evaluations-in-n8n-building-high-quality-outputs-you-can-trust-8508000/main/documents/Document%209_%20IT%20Usage%20and%20Security%20Policies.txt)</t>
  </si>
  <si>
    <t>2026-07-17T14:52:44.118Z</t>
  </si>
  <si>
    <t>17348</t>
  </si>
  <si>
    <t>The PASS steps are correctly quoted from Document 10, but the response omits the document’s important safety caveat — that extinguishers should only be used if you are trained and the fire is very small — a material omission for emergency guidance.</t>
  </si>
  <si>
    <t>Use the PASS method to operate a fire extinguisher.^1
- Pull the pin.  
- Aim at base of fire.  
- Squeeze the trigger.  
- Sweep side to side.  
Sources:
- ^1 [Document 10_ Workplace Safety and Emergency Procedures.txt](https://raw.githubusercontent.com/tobiaszwingmann/ai-evaluations-in-n8n-building-high-quality-outputs-you-can-trust-8508000/main/documents/Document%2010_%20Workplace%20Safety%20and%20Emergency%20Procedures.txt)</t>
  </si>
  <si>
    <t>2026-07-17T14:53:37.581Z</t>
  </si>
  <si>
    <t>All statements in the AI response (assembly point is the parking lot or designated spot on the evacuation map; check in with supervisor/warden; do not re-enter until officials declare it safe) are directly stated in Document 10 Workplace Safety and Emergency Procedures.</t>
  </si>
  <si>
    <t>Our primary assembly point is the parking lot across the street, or the spot on the evacuation map. Check in with your supervisor or the warden there. Do not re-enter until officials declare it safe.^1
Sources:
- ^1 [Document 10_ Workplace Safety and Emergency Procedures.txt](https://raw.githubusercontent.com/tobiaszwingmann/ai-evaluations-in-n8n-building-high-quality-outputs-you-can-trust-8508000/main/documents/Document%2010_%20Workplace%20Safety%20and%20Emergency%20Procedures.txt)</t>
  </si>
  <si>
    <t>2026-07-17T14:54:32.046Z</t>
  </si>
  <si>
    <t>Document 5 explicitly states the company uses a bi‑weekly payroll (every two weeks), typically every other Friday, and that each paycheck covers the two‑week pay period that ended about one week prior to the pay date.</t>
  </si>
  <si>
    <t>Employees are paid on a bi-weekly schedule (every two weeks), typically every other Friday. Each paycheck covers the two-week pay period that ended about one week before the pay date. ^1
Sources:
- ^1 [Document 5_ Compensation, Payroll, and Promotions.txt](https://raw.githubusercontent.com/tobiaszwingmann/ai-evaluations-in-n8n-building-high-quality-outputs-you-can-trust-8508000/main/documents/Document%205_%20Compensation%2C%20Payroll%2C%20and%20Promotions.txt)</t>
  </si>
  <si>
    <t>2026-07-17T14:55:16.328Z</t>
  </si>
  <si>
    <t>Every factual statement in the AI response is directly supported by Document 7 (Leave and Time Off Policies); no material information is omitted or contradicted.</t>
  </si>
  <si>
    <t>Process to request parental leave:
- Give HR at least 30 days' notice, if feasible.  
- Submit a leave request through the HR timekeeping system.  
- Notify your manager; manager approves the request online.  
- Work with HR to complete parental leave forms.  
- Complete FMLA paperwork with HR, if eligible.  
- Primary caregivers: up to 12 weeks total; 6 weeks paid.  
- Remaining weeks unpaid or use accrued vacation for pay.  
- Secondary caregivers eligible for 2 paid weeks.  
- Leave may be continuous or flexible within first year.  
- Flexible timing requires manager approval.  
- Birth mothers: STD may run concurrently with leave.  
- For unplanned leave, notify your manager as soon as possible.  
- Manager or HR can log leave on your behalf.  
- HR coordinates benefits and paperwork during leave. ^1
Sources:
- ^1 [Document 7_ Leave and Time Off Policies.txt](https://raw.githubusercontent.com/tobiaszwingmann/ai-evaluations-in-n8n-building-high-quality-outputs-you-can-trust-8508000/main/documents/Document%207_%20Leave%20and%20Time%20Off%20Policies.txt)</t>
  </si>
  <si>
    <t>2026-07-17T14:57:13.511Z</t>
  </si>
  <si>
    <t>All listed steps and statements directly match the content of Document 8 (Performance Reviews and Career Development); no unsupported or contradictory claims were added.</t>
  </si>
  <si>
    <t>Steps of the annual performance review:
- Annual review held at year-end; mid-year check-in too.
- Set SMART goals with manager at review cycle start.
- Receive ongoing feedback and regular check-ins throughout year.
- Complete a self-assessment reflecting achievements and improvements.
- Manager evaluates performance against goals and expectations.
- Collect 360-degree feedback when applicable.
- Attend one-on-one review meeting with manager.
- Discuss feedback, recognition, and career aspirations.
- Receive rating and outcome; may affect pay or bonuses.
- Agree on career development plan and training needs.
- Managers may issue a Performance Improvement Plan if needed.^1
Sources:
- ^1 [Document 8_ Performance Reviews and Career Development.txt](https://raw.githubusercontent.com/tobiaszwingmann/ai-evaluations-in-n8n-building-high-quality-outputs-you-can-trust-8508000/main/documents/Document%208_%20Performance%20Reviews%20and%20Career%20Development.txt)</t>
  </si>
  <si>
    <t>2026-07-17T14:58:32.999Z</t>
  </si>
  <si>
    <t>All listed eligibility and expectation points are directly supported by Document 3 (remote work, manager agreement, workspace/internet, engagement, scheduling, equipment reporting) and Document 9 (IT/MDM, personal laptop restrictions, passwords/MFA, approved data storage, reporting compromised devices). No unsupported claims were added.</t>
  </si>
  <si>
    <t>Eligibility:
Remote eligibility depends on role and team needs. If eligible, discuss arrangements with your manager.^1
Expectations:
- Maintain a proper workspace and reliable internet.
- Be fully engaged during work hours.
- Be available online and attend meetings.
- Meet productivity expectations like in-office staff.
- Agree schedule and hybrid days with manager.
- Use company equipment or request IT/HR support.
- Personal devices require PIN and MDM enrollment.
- Personal laptops generally not allowed without authorization.
- Use strong passwords and MFA for remote access.
- Store company data only in approved systems.
- Report lost or compromised devices to IT immediately.^1,^2
Sources:
- ^1 [Document 3_ General Employment Policies.txt](https://raw.githubusercontent.com/tobiaszwingmann/ai-evaluations-in-n8n-building-high-quality-outputs-you-can-trust-8508000/main/documents/Document%203_%20General%20Employment%20Policies.txt)
- ^2 [Document 9_ IT Usage and Security Policies.txt](https://raw.githubusercontent.com/tobiaszwingmann/ai-evaluations-in-n8n-building-high-quality-outputs-you-can-trust-8508000/main/documents/Document%209_%20IT%20Usage%20and%20Security%20Policies.txt)</t>
  </si>
  <si>
    <t>2026-07-17T15:00:43.080Z</t>
  </si>
  <si>
    <t>Each bullet matches statements in Document 2 (arrival time, HR orientation, paperwork, ID/tour, equipment/logins, high-level policy review, benefits overview, buddy and lunch, HR Q&amp;A); no unsupported claims added.</t>
  </si>
  <si>
    <t>Expect the following on your first day:
- Arrive at the front desk by 9:00 AM.  
- HR orientation and brief welcome.  
- Complete new hire paperwork (tax, direct deposit).  
- Receive company ID badge and office tour.  
- Get issued equipment; set up logins and email.  
- High-level policy overview (code of conduct, hours).  
- Brief benefits enrollment overview.  
- Assigned a buddy/mentor; likely lunch with them.  
- HR will answer your initial questions.
Sources: 
- ^1 [Document 2_ Onboarding Process and New Hire Orientation.txt](https://raw.githubusercontent.com/tobiaszwingmann/ai-evaluations-in-n8n-building-high-quality-outputs-you-can-trust-8508000/main/documents/Document%202_%20Onboarding%20Process%20and%20New%20Hire%20Orientation.txt)</t>
  </si>
  <si>
    <t>2026-07-17T15:02:07.155Z</t>
  </si>
  <si>
    <t>Each statement is directly supported by the cited passages in Document 7 and Document 6 (parental leave details and STD/benefits); no unsupported or contradictory information added.</t>
  </si>
  <si>
    <t>- Primary caregivers get up to 12 weeks parental leave.^1  
- Company provides six weeks of that leave fully paid.^1  
- Remaining six weeks unpaid or use accrued vacation.^1  
- Short-term disability pays part of your salary when ill.^2  
- STD is generally available up to 13 weeks.^2  
- For birth mothers, STD typically covers six to eight weeks.^1  
- STD runs concurrently with parental leave for birth mothers.^1  
- Inform HR at least 30 days' notice, if feasible.^1
Sources: 
- ^1 [Document 7_ Leave and Time Off Policies.txt](https://raw.githubusercontent.com/tobiaszwingmann/ai-evaluations-in-n8n-building-high-quality-outputs-you-can-trust-8508000/main/documents/Document%207_%20Leave%20and%20Time%20Off%20Policies.txt)  
- ^2 [Document 6_ Employee Benefits and Perks.txt](https://raw.githubusercontent.com/tobiaszwingmann/ai-evaluations-in-n8n-building-high-quality-outputs-you-can-trust-8508000/main/documents/Document%206_%20Employee%20Benefits%20and%20Perks.txt)</t>
  </si>
  <si>
    <t>2026-07-17T15:03:40.963Z</t>
  </si>
  <si>
    <t>All claims are directly supported by Document 6 (STD up to ~13 weeks; LTD continues after STD) and Document 7 (FMLA up to 12 weeks, unpaid leave typically up to 30 days, HR coordinates benefits and option to use accrued vacation), with no unsupported additions.</t>
  </si>
  <si>
    <t>Short-term disability (STD) can replace part of your pay for extended illness, generally up to about 13 weeks. Long-term disability (LTD) may provide income after the STD period ends.^1
You may also be eligible for job‑protected unpaid leave under FMLA (up to 12 weeks if eligible). You can request an unpaid leave of absence; approvals depend on business needs and are typically up to 30 days. HR will coordinate benefits and discuss options like using accrued vacation to remain paid in some cases.^2
Sources:
- ^1 [Document 6_ Employee Benefits and Perks.txt](https://raw.githubusercontent.com/tobiaszwingmann/ai-evaluations-in-n8n-building-high-quality-outputs-you-can-trust-8508000/main/documents/Document%206_%20Employee%20Benefits%20and%20Perks.txt)
- ^2 [Document 7_ Leave and Time Off Policies.txt](https://raw.githubusercontent.com/tobiaszwingmann/ai-evaluations-in-n8n-building-high-quality-outputs-you-can-trust-8508000/main/documents/Document%207_%20Leave%20and%20Time%20Off%20Policies.txt)</t>
  </si>
  <si>
    <t>2026-07-17T15:06:00.218Z</t>
  </si>
  <si>
    <t>All listed claims are directly supported by Document 3 and Document 9 (remote-work arrangements, stipend/equipment, company-provided devices, encryption and monitoring, MDM for personal phones, restriction on personal laptops, reporting lost/damaged equipment, requesting peripherals/reimbursement via IT/HR, and discussing remote schedule with manager). No material contradictions or unsupported additions.</t>
  </si>
  <si>
    <t>They link remote-work expectations with IT provisioning and security.^1,^2
Key points:
- Stipend or company equipment available.
- Company supplies laptops, monitors, phones.
- Devices encrypted; company may access device data.
- Personal phones require MDM enrollment.
- Personal laptops generally not allowed.
- Report lost, stolen, or damaged equipment immediately.
- Request peripherals or reimbursement via IT/HR.
- Discuss remote schedule and needs with manager.
Sources:
- ^1 [Document 3_ General Employment Policies.txt](https://raw.githubusercontent.com/tobiaszwingmann/ai-evaluations-in-n8n-building-high-quality-outputs-you-can-trust-8508000/main/documents/Document%203_%20General%20Employment%20Policies.txt)
- ^2 [Document 9_ IT Usage and Security Policies.txt](https://raw.githubusercontent.com/tobiaszwingmann/ai-evaluations-in-n8n-building-high-quality-outputs-you-can-trust-8508000/main/documents/Document%209_%20IT%20Usage%20and%20Security%20Policies.txt)</t>
  </si>
  <si>
    <t>2026-07-17T15:08:22.990Z</t>
  </si>
  <si>
    <t>All statements in the AI response are supported by Document 5 and Document 8 (annual reviews influence pay/bonuses; company sets a raise budget and distributes raises based on performance ratings and market benchmarks; bonuses are discretionary year‑end payments tied to company and individual performance; criteria/bonus criteria are communicated in advance during review season). No unsupported claims were added.</t>
  </si>
  <si>
    <t>Annual performance reviews influence raises and bonuses.^1^2
- Raises: Considered during annual reviews; company sets raise budget.^1  
- Distribution: Based on performance ratings and market benchmarks.^1  
- Bonuses: Discretionary year‑end payments tied to company and performance.^1  
- Criteria: Communicated in advance during performance review season.^1
Sources:  
- ^1 [Document 5_ Compensation, Payroll, and Promotions.txt](https://raw.githubusercontent.com/tobiaszwingmann/ai-evaluations-in-n8n-building-high-quality-outputs-you-can-trust-8508000/main/documents/Document%205_%20Compensation%2C%20Payroll%2C%20and%20Promotions.txt)  
- ^2 [Document 8_ Performance Reviews and Career Development.txt](https://raw.githubusercontent.com/tobiaszwingmann/ai-evaluations-in-n8n-building-high-quality-outputs-you-can-trust-8508000/main/documents/Document%208_%20Performance%20Reviews%20and%20Career%20Development.txt)</t>
  </si>
  <si>
    <t>2026-07-17T15:10:21.063Z</t>
  </si>
  <si>
    <t>The assistant asserts the handbook contains no information but provides no evidence. The repository includes multiple handbook documents; the claim of ‘not addressed anywhere’ is unsupported without searching their contents.</t>
  </si>
  <si>
    <t>2026-07-17T15:10:59.121Z</t>
  </si>
  <si>
    <t>The response asserts the handbook contains no information about ‘this’ but provides no citation and the claim cannot be verified from the available documents. Without a specific topic and supporting evidence across the listed handbook files, the statement is unsupported.</t>
  </si>
  <si>
    <t>2026-07-17T15:11:37.111Z</t>
  </si>
  <si>
    <t>All claims in the AI response match the dress code section of Document 3 (business-casual, examples of acceptable clothing, closed-toe shoes, Friday casual dress, remote employees presentable for video meetings, and team-specific manager requirements). No unsupported information was added.</t>
  </si>
  <si>
    <t>The dress code is business-casual. Collared shirts, blouses, slacks or neat jeans are acceptable. Closed-toe shoes are preferred. Fridays are casual dress days; jeans and sneakers are welcome. Remote employees should be presentable for video meetings. Some teams may have specific attire requirements from managers.^1
Sources:
- ^1 [Document 3_ General Employment Policies.txt](https://github.com/tobiaszwingmann/ai-evaluations-in-n8n-building-high-quality-outputs-you-can-trust-8508000/blob/main/documents/Document%203_%20General%20Employment%20Policies.txt)</t>
  </si>
  <si>
    <t>2026-07-17T15:13:12.730Z</t>
  </si>
  <si>
    <t>gpt-5-mini high</t>
  </si>
  <si>
    <t>(All)</t>
  </si>
  <si>
    <t>Run</t>
  </si>
  <si>
    <t>Average of scoring_judge</t>
  </si>
  <si>
    <t>Average of eval_source_match</t>
  </si>
  <si>
    <t>Average of faithfulness_judge</t>
  </si>
  <si>
    <t>Source names match %</t>
  </si>
  <si>
    <t>Avg. Scoring Judge</t>
  </si>
  <si>
    <t>Avg. Faithfulness Judge</t>
  </si>
  <si>
    <t>Chart helpers</t>
  </si>
  <si>
    <t>Source Count Match</t>
  </si>
  <si>
    <t>Faithfulness</t>
  </si>
  <si>
    <t>Execution ID</t>
  </si>
  <si>
    <t>Min of execution_time</t>
  </si>
  <si>
    <t>Source Names Match</t>
  </si>
  <si>
    <t>Time</t>
  </si>
  <si>
    <t>Both statements are directly supported by Document 9: it states MFA is used for remote access and important applications and gives examples (authenticator app code or text message) as the second step.</t>
  </si>
  <si>
    <t>Multi-Factor Authentication (MFA) is required for remote access and important applications.^1 This process requires a second login step, such as a verification code from an authenticator app or a text message.^1
Sources:
- ^1 [Document 9_ IT Usage and Security Policies.txt](https://raw.githubusercontent.com/tobiaszwingmann/ai-evaluations-in-n8n-building-high-quality-outputs-you-can-trust-8508000/main/documents/Document%209_%20IT%20Usage%20and%20Security%20Policies.txt)</t>
  </si>
  <si>
    <t>2026-07-17T15:59:55.901Z</t>
  </si>
  <si>
    <t>17355</t>
  </si>
  <si>
    <t>Document 10’s Fire Safety section explicitly lists the PASS method and the four steps (Pull pin; Aim at base; Squeeze trigger; Sweep side to side), so the AI response is fully supported by the source.</t>
  </si>
  <si>
    <t>To operate a fire extinguisher, you should use the PASS method.^1
The PASS method includes these steps:
* Pull the pin.
* Aim at the base.
* Squeeze the trigger.
* Sweep side to side.
Sources:
- ^1 [Document 10_ Workplace Safety and Emergency Procedures.txt](https://api.github.com/repos/tobiaszwingmann/ai-evaluations-in-n8n-building-high-quality-outputs-you-can-trust-8508000/contents/documents/Document%2010_%20Workplace%20Safety%20and%20Emergency%20Procedures.txt?ref=main)</t>
  </si>
  <si>
    <t>2026-07-17T16:00:56.526Z</t>
  </si>
  <si>
    <t>The claim exactly matches Document 10, which states the primary assembly point is the parking lot across the street (or the designated spot on the evacuation map).</t>
  </si>
  <si>
    <t>The primary emergency assembly point during an evacuation is the parking lot across the street, or the designated spot noted on the evacuation map.^1
Sources:
- ^1 [Document 10_ Workplace Safety and Emergency Procedures.txt](https://raw.githubusercontent.com/tobiaszwingmann/ai-evaluations-in-n8n-building-high-quality-outputs-you-can-trust-8508000/main/documents/Document%2010_%20Workplace%20Safety%20and%20Emergency%20Procedures.txt)</t>
  </si>
  <si>
    <t>2026-07-17T16:01:21.018Z</t>
  </si>
  <si>
    <t>The URL in the AI response points to the provided Document 5 and the tool download returned that exact file content; the response’s action (downloading the file) is supported by the source. No unsupported claims were made.</t>
  </si>
  <si>
    <t>Calling Download_File with input: {"URL":"https://raw.githubusercontent.com/tobiaszwingmann/ai-evaluations-in-n8n-building-high-quality-outputs-you-can-trust-8508000/main/documents/Document%205_%20Compensation%2C%20Payroll%2C%20and%20Promotions.txt"}</t>
  </si>
  <si>
    <t>2026-07-17T16:01:50.224Z</t>
  </si>
  <si>
    <t>The response shows a call to 'Download_File' but the available function is named 'Download_File1'; the AI did not actually call the provided tool and made a mismatched function-name claim, so it is not supported by the source/tools.</t>
  </si>
  <si>
    <t>Calling Download_File with input: {"URL":"https://raw.githubusercontent.com/tobiaszwingmann/ai-evaluations-in-n8n-building-high-quality-outputs-you-can-trust-8508000/main/documents/Document%207_%20Leave%20and%20Time%20Off%20Policies.txt"}</t>
  </si>
  <si>
    <t>2026-07-17T16:02:11.872Z</t>
  </si>
  <si>
    <t>The assistant's output reproduces the content of Document 8 (Performance Reviews and Career Development) exactly; all claims are supported by the downloaded source and no unsupported information was added.</t>
  </si>
  <si>
    <t>Calling Download_File with input: {"URL":"https://raw.githubusercontent.com/tobiaszwingmann/ai-evaluations-in-n8n-building-high-quality-outputs-you-can-trust-8508000/main/documents/Document%208_%20Performance%20Reviews%20and%20Career%20Development.txt"}</t>
  </si>
  <si>
    <t>2026-07-17T16:02:52.883Z</t>
  </si>
  <si>
    <t>Two claims are unsupported/contradicted by the sources: Document 6 does not state that flexible schedules are typically limited to full‑time employees (it mentions flexible schedules but not that limitation), and Document 9 does not prohibit personal laptops—rather it allows personal devices with security controls (BYOD). Other statements are supported.</t>
  </si>
  <si>
    <t>### Remote Work Eligibility
Eligibility for remote or hybrid work is based on your role. You must discuss arrangements with your manager to determine schedule details.^1 Flexible schedules are typically offered as a benefit to full-time employees.^2
* Depends on team needs and position.^1
* Discussion and approval with your manager is required.^1
* Full-time employees are typically eligible for flexible arrangements.^2
### Remote Work Expectations
Remote employees must maintain high performance, professional behavior, and strict data security.^1 ^3
* You must have a proper workspace and reliable internet.^1
* Stay fully engaged and available online during work hours.^1
* Attend meetings and meet regular productivity expectations.^1
* Dress professionally and presentably for video meetings.^1
* Personal laptops are generally not allowed for work.^3
* Abide by security rules when using personal mobile devices.^3
Sources:
- ^1 [Document 3_ General Employment Policies.txt](https://api.github.com/repos/tobiaszwingmann/ai-evaluations-in-n8n-building-high-quality-outputs-you-can-trust-8508000/contents/documents/Document%203_%20General%20Employment%20Policies.txt?ref=main)
- ^2 [Document 6_ Employee Benefits and Perks.txt](https://api.github.com/repos/tobiaszwingmann/ai-evaluations-in-n8n-building-high-quality-outputs-you-can-trust-8508000/contents/documents/Document%206_%20Employee%20Benefits%20and%20Perks.txt?ref=main)
- ^3 [Document 9_ IT Usage and Security Policies.txt](https://api.github.com/repos/tobiaszwingmann/ai-evaluations-in-n8n-building-high-quality-outputs-you-can-trust-8508000/contents/documents/Document%209_%20IT%20Usage%20and%20Security%20Policies.txt?ref=main)</t>
  </si>
  <si>
    <t>2026-07-17T16:04:38.004Z</t>
  </si>
  <si>
    <t>All listed first-day items and the remote orientation details are directly supported by the provided onboarding document; no unsupported or contradictory claims were added.</t>
  </si>
  <si>
    <t>On your first day, you should expect the following:
* Arrive at the front desk by 9:00 AM.^1
* HR will greet you for a brief orientation.^1
* Complete any remaining new hire paperwork.^1
* Get your ID badge and an office tour.^1
* Receive your equipment and login assistance.^1
* Review company policies at a high level.^1
* Learn briefly about benefits enrollment.^1
* Meet your buddy and go to lunch.^1
For remote employees, orientation is held via video conference, and equipment is shipped beforehand.^1
Sources:
- ^1 [Document 2_ Onboarding Process and New Hire Orientation.txt](https://api.github.com/repos/tobiaszwingmann/ai-evaluations-in-n8n-building-high-quality-outputs-you-can-trust-8508000/contents/documents/Document%202_%20Onboarding%20Process%20and%20New%20Hire%20Orientation.txt?ref=main)</t>
  </si>
  <si>
    <t>2026-07-17T16:05:14.900Z</t>
  </si>
  <si>
    <t>Document 7 explicitly states parental leave is in addition to short-term disability, notes STD typically covers 6–8 weeks of medical recovery for birth mothers, and indicates those benefits run concurrently.</t>
  </si>
  <si>
    <t>According to Document 7, paid parental leave coordinates with short-term disability as follows:^1
* Paid parental leave is in addition to short-term disability.
* Short-term disability typically covers 6-8 weeks of recovery.
* Both benefits run concurrently.
Sources: 
- ^1 [Document 7_ Leave and Time Off Policies.txt](https://api.github.com/repos/tobiaszwingmann/ai-evaluations-in-n8n-building-high-quality-outputs-you-can-trust-8508000/contents/documents/Document%207_%20Leave%20and%20Time%20Off%20Policies.txt?ref=main)</t>
  </si>
  <si>
    <t>2026-07-17T16:05:56.579Z</t>
  </si>
  <si>
    <t>The repository listing returned by List_files1 includes Document 7 with the same raw.githubusercontent.com download_url, so the Download_File call for that URL is supported by the source.</t>
  </si>
  <si>
    <t>2026-07-17T16:06:24.127Z</t>
  </si>
  <si>
    <t>All four claims are directly supported by the cited documents: Document 3 states remote work requires a proper workspace and reliable internet and mentions a stipend or company equipment for home office support; Document 9 states the company provides necessary equipment (e.g., laptops) and describes a policy for requesting additional peripherals or expense reimbursement. No unsupported or contradictory content was added.</t>
  </si>
  <si>
    <t>The remote-work policy and IT equipment support collaborate to ensure remote employees have a functional home office. ^1 ^2
* Remote work requires a proper workspace and reliable internet. ^1
* The company provides necessary computer equipment like laptops. ^2
* A stipend or company equipment supports your setup. ^1
* Remote staff can request extra peripherals or expense reimbursement. ^2
Sources:
- ^1 [Document 3_ General Employment Policies.txt](https://api.github.com/repos/tobiaszwingmann/ai-evaluations-in-n8n-building-high-quality-outputs-you-can-trust-8508000/contents/documents/Document%203_%20General%20Employment%20Policies.txt?ref=main)
- ^2 [Document 9_ IT Usage and Security Policies.txt](https://api.github.com/repos/tobiaszwingmann/ai-evaluations-in-n8n-building-high-quality-outputs-you-can-trust-8508000/contents/documents/Document%209_%20IT%20Usage%20and%20Security%20Policies.txt?ref=main)</t>
  </si>
  <si>
    <t>2026-07-17T16:07:13.873Z</t>
  </si>
  <si>
    <t>The response asserts a Download_File call to the Document 5 raw URL, but the tool logs show only a List_files1 call and no Download_File was executed; the claimed download is unsupported by the provided output.</t>
  </si>
  <si>
    <t>2026-07-17T16:07:38.006Z</t>
  </si>
  <si>
    <t>The AI response claims it called Download_File with the given URL, but the available tool output shows a List_files1 call (no Download_File call). While the listed files include the matching download_url, there is no evidence the Download_File call was made, so the claim is unsupported.</t>
  </si>
  <si>
    <t>Calling Download_File with input: {"URL":"https://raw.githubusercontent.com/tobiaszwingmann/ai-evaluations-in-n8n-building-high-quality-outputs-you-can-trust-8508000/main/documents/Document%206_%20Employee%20Benefits%20and%20Perks.txt"}</t>
  </si>
  <si>
    <t>2026-07-17T16:08:05.191Z</t>
  </si>
  <si>
    <t>The response claims a Download_File call with that URL, but the actual assistant call shown is List_files1 (no Download_File was called). The claim of having called Download_File is unsupported/incorrect.</t>
  </si>
  <si>
    <t>2026-07-17T16:08:27.464Z</t>
  </si>
  <si>
    <t>The response’s download URL and filename match the file listed in the provided List_files1 output (Document 3_ General Employment Policies.txt); no unsupported factual claims or contradictions are present.</t>
  </si>
  <si>
    <t>Calling Download_File with input: {"URL":"https://raw.githubusercontent.com/tobiaszwingmann/ai-evaluations-in-n8n-building-high-quality-outputs-you-can-trust-8508000/main/documents/Document%203_%20General%20Employment%20Policies.txt"}
Policies.txt" (Wait, there was a typo in my URL encoding or file name? Let's use the actual URL from the JSON list)
The url is: https://raw.githubusercontent.com/tobiaszwingmann/ai-evaluations-in-n8n-building-high-quality-outputs-you-can-trust-8508000/main/documents/Document%203_%20General%20Employment%20Policies.txt
Let's call Download_File.
Calling Download_File with input: {"URL":"https://raw.githubusercontent.com/tobiaszwingmann/ai-evaluations-in-n8n-building-high-quality-outputs-you-can-trust-8508000/main/documents/Document%203_%20General%20Employment%20Policies.txt"}</t>
  </si>
  <si>
    <t>2026-07-17T16:08:57.287Z</t>
  </si>
  <si>
    <t>gemini-3.5-flash</t>
  </si>
  <si>
    <t>Current Avg</t>
  </si>
  <si>
    <t>Chart Helper</t>
  </si>
  <si>
    <t>Scoring</t>
  </si>
  <si>
    <t>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</si>
</sst>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409]m/d/yy\ h:mm\ AM/PM;@"/>
    <numFmt numFmtId="166" formatCode="yyyy\-mm\-dd\ h:mm;@"/>
  </numFmts>
  <fonts count="12" x14ac:knownFonts="1">
    <font>
      <sz val="12"/>
      <color theme="1"/>
      <name val="Calibri"/>
    </font>
    <font>
      <b/>
      <sz val="12"/>
      <color rgb="FFFFFFFF"/>
      <name val="Calibri"/>
      <family val="2"/>
    </font>
    <font>
      <b/>
      <sz val="18"/>
      <color rgb="FFFFFFFF"/>
      <name val="Calibri"/>
      <family val="2"/>
    </font>
    <font>
      <b/>
      <sz val="12"/>
      <color theme="1"/>
      <name val="Calibri"/>
      <family val="2"/>
    </font>
    <font>
      <b/>
      <sz val="12"/>
      <color rgb="FF111827"/>
      <name val="Calibri"/>
      <family val="2"/>
    </font>
    <font>
      <sz val="12"/>
      <color theme="1"/>
      <name val="Calibri"/>
      <family val="2"/>
    </font>
    <font>
      <b/>
      <sz val="12"/>
      <color theme="0" tint="-0.499984740745262"/>
      <name val="Calibri"/>
      <family val="2"/>
    </font>
    <font>
      <sz val="12"/>
      <color theme="0" tint="-0.499984740745262"/>
      <name val="Calibri"/>
      <family val="2"/>
    </font>
    <font>
      <sz val="12"/>
      <color theme="1"/>
      <name val="Calibri"/>
      <family val="2"/>
    </font>
    <font>
      <b/>
      <sz val="20"/>
      <color rgb="FFFFFFFF"/>
      <name val="Calibri"/>
      <family val="2"/>
    </font>
    <font>
      <i/>
      <sz val="10"/>
      <color rgb="FF64748B"/>
      <name val="Calibri"/>
      <family val="2"/>
    </font>
    <font>
      <b/>
      <sz val="10"/>
      <color rgb="FFFFFFFF"/>
      <name val="Calibri"/>
      <family val="2"/>
    </font>
  </fonts>
  <fills count="7">
    <fill>
      <patternFill patternType="none"/>
    </fill>
    <fill>
      <patternFill patternType="gray125"/>
    </fill>
    <fill>
      <patternFill patternType="solid">
        <fgColor rgb="FF111827"/>
      </patternFill>
    </fill>
    <fill>
      <patternFill patternType="solid">
        <fgColor rgb="FF0F172A"/>
      </patternFill>
    </fill>
    <fill>
      <patternFill patternType="solid">
        <fgColor rgb="FFE5E7EB"/>
      </patternFill>
    </fill>
    <fill>
      <patternFill patternType="solid">
        <fgColor theme="0" tint="-4.9989318521683403E-2"/>
        <bgColor indexed="64"/>
      </patternFill>
    </fill>
    <fill>
      <patternFill patternType="solid">
        <fgColor theme="1"/>
        <bgColor rgb="FF0F172A"/>
      </patternFill>
    </fill>
  </fills>
  <borders count="2">
    <border>
      <left/>
      <right/>
      <top/>
      <bottom/>
      <diagonal/>
    </border>
    <border>
      <left/>
      <right/>
      <top/>
      <bottom/>
      <diagonal/>
    </border>
  </borders>
  <cellStyleXfs count="3">
    <xf numFmtId="0" fontId="0" fillId="0" borderId="0"/>
    <xf numFmtId="9" fontId="8" fillId="0" borderId="0" applyFont="0" applyFill="0" applyBorder="0" applyAlignment="0" applyProtection="0"/>
    <xf numFmtId="0" fontId="5" fillId="0" borderId="1"/>
  </cellStyleXfs>
  <cellXfs count="42">
    <xf numFmtId="0" fontId="0" fillId="0" borderId="0" xfId="0"/>
    <xf numFmtId="0" fontId="1" fillId="2" borderId="0" xfId="0" applyFont="1" applyFill="1" applyAlignment="1">
      <alignment horizontal="center" vertical="center"/>
    </xf>
    <xf numFmtId="0" fontId="1" fillId="2" borderId="0" xfId="0" applyFont="1" applyFill="1" applyAlignment="1">
      <alignment horizontal="center" vertical="center" wrapText="1"/>
    </xf>
    <xf numFmtId="0" fontId="3" fillId="0" borderId="0" xfId="0" applyFont="1"/>
    <xf numFmtId="2" fontId="0" fillId="0" borderId="0" xfId="0" applyNumberFormat="1"/>
    <xf numFmtId="164" fontId="0" fillId="0" borderId="0" xfId="0" applyNumberFormat="1" applyAlignment="1">
      <alignment horizontal="center"/>
    </xf>
    <xf numFmtId="2" fontId="0" fillId="0" borderId="0" xfId="0" applyNumberFormat="1" applyAlignment="1">
      <alignment horizontal="center"/>
    </xf>
    <xf numFmtId="0" fontId="5" fillId="0" borderId="0" xfId="0" applyFont="1"/>
    <xf numFmtId="0" fontId="0" fillId="0" borderId="0" xfId="0" pivotButton="1"/>
    <xf numFmtId="0" fontId="0" fillId="0" borderId="0" xfId="0" applyAlignment="1">
      <alignment horizontal="left"/>
    </xf>
    <xf numFmtId="9" fontId="0" fillId="0" borderId="0" xfId="0" applyNumberFormat="1"/>
    <xf numFmtId="2" fontId="3" fillId="0" borderId="0" xfId="0" applyNumberFormat="1" applyFont="1" applyAlignment="1">
      <alignment horizontal="center"/>
    </xf>
    <xf numFmtId="2" fontId="5" fillId="0" borderId="0" xfId="0" applyNumberFormat="1" applyFont="1" applyAlignment="1">
      <alignment horizontal="center"/>
    </xf>
    <xf numFmtId="164" fontId="3" fillId="0" borderId="0" xfId="1" applyNumberFormat="1" applyFont="1" applyAlignment="1">
      <alignment horizontal="center"/>
    </xf>
    <xf numFmtId="0" fontId="4" fillId="4" borderId="0" xfId="0" applyFont="1" applyFill="1" applyAlignment="1">
      <alignment horizontal="left"/>
    </xf>
    <xf numFmtId="9" fontId="3" fillId="0" borderId="0" xfId="1" applyFont="1" applyAlignment="1">
      <alignment horizontal="center"/>
    </xf>
    <xf numFmtId="164" fontId="0" fillId="0" borderId="0" xfId="1" applyNumberFormat="1" applyFont="1" applyAlignment="1">
      <alignment horizontal="center"/>
    </xf>
    <xf numFmtId="0" fontId="5" fillId="0" borderId="1" xfId="2"/>
    <xf numFmtId="0" fontId="0" fillId="0" borderId="0" xfId="0" pivotButton="1" applyAlignment="1">
      <alignment vertical="center"/>
    </xf>
    <xf numFmtId="0" fontId="0" fillId="0" borderId="0" xfId="0" applyAlignment="1">
      <alignment vertical="center"/>
    </xf>
    <xf numFmtId="0" fontId="0" fillId="0" borderId="0" xfId="0" applyAlignment="1">
      <alignment horizontal="center" vertical="center" wrapText="1"/>
    </xf>
    <xf numFmtId="2" fontId="0" fillId="0" borderId="0" xfId="0" applyNumberFormat="1" applyAlignment="1">
      <alignment horizontal="center" vertical="center"/>
    </xf>
    <xf numFmtId="10" fontId="0" fillId="0" borderId="0" xfId="0" applyNumberFormat="1"/>
    <xf numFmtId="165" fontId="0" fillId="0" borderId="0" xfId="0" applyNumberFormat="1" applyAlignment="1">
      <alignment horizontal="center"/>
    </xf>
    <xf numFmtId="0" fontId="0" fillId="0" borderId="0" xfId="0" applyAlignment="1">
      <alignment horizontal="center"/>
    </xf>
    <xf numFmtId="0" fontId="11" fillId="6" borderId="0" xfId="0" applyFont="1" applyFill="1" applyAlignment="1">
      <alignment horizontal="left" wrapText="1"/>
    </xf>
    <xf numFmtId="0" fontId="7" fillId="5" borderId="1" xfId="2" applyFont="1" applyFill="1"/>
    <xf numFmtId="0" fontId="6" fillId="5" borderId="1" xfId="2" applyFont="1" applyFill="1"/>
    <xf numFmtId="0" fontId="7" fillId="5" borderId="1" xfId="2" applyFont="1" applyFill="1" applyAlignment="1">
      <alignment horizontal="right"/>
    </xf>
    <xf numFmtId="165" fontId="7" fillId="5" borderId="0" xfId="0" applyNumberFormat="1" applyFont="1" applyFill="1"/>
    <xf numFmtId="2" fontId="7" fillId="5" borderId="0" xfId="0" applyNumberFormat="1" applyFont="1" applyFill="1"/>
    <xf numFmtId="2" fontId="7" fillId="5" borderId="1" xfId="2" applyNumberFormat="1" applyFont="1" applyFill="1"/>
    <xf numFmtId="166" fontId="1" fillId="2" borderId="0" xfId="0" applyNumberFormat="1" applyFont="1" applyFill="1" applyAlignment="1">
      <alignment horizontal="center" vertical="center" wrapText="1"/>
    </xf>
    <xf numFmtId="166" fontId="0" fillId="0" borderId="0" xfId="0" applyNumberFormat="1"/>
    <xf numFmtId="166" fontId="5" fillId="0" borderId="0" xfId="0" applyNumberFormat="1" applyFont="1"/>
    <xf numFmtId="166" fontId="0" fillId="0" borderId="0" xfId="0" applyNumberFormat="1" applyAlignment="1">
      <alignment horizontal="center"/>
    </xf>
    <xf numFmtId="166" fontId="5" fillId="0" borderId="1" xfId="2" applyNumberFormat="1"/>
    <xf numFmtId="0" fontId="10" fillId="0" borderId="1" xfId="2" applyFont="1" applyAlignment="1">
      <alignment horizontal="center" vertical="center"/>
    </xf>
    <xf numFmtId="0" fontId="9" fillId="3" borderId="1" xfId="2" applyFont="1" applyFill="1" applyAlignment="1">
      <alignment horizontal="center" vertical="center"/>
    </xf>
    <xf numFmtId="0" fontId="2" fillId="3" borderId="0" xfId="0" applyFont="1" applyFill="1" applyAlignment="1">
      <alignment horizontal="center" vertical="center"/>
    </xf>
    <xf numFmtId="0" fontId="4" fillId="4" borderId="0" xfId="0" applyFont="1" applyFill="1" applyAlignment="1">
      <alignment horizontal="left"/>
    </xf>
    <xf numFmtId="0" fontId="0" fillId="0" borderId="0" xfId="0"/>
  </cellXfs>
  <cellStyles count="3">
    <cellStyle name="Normal" xfId="0" builtinId="0"/>
    <cellStyle name="Normal 2" xfId="2" xr:uid="{C16ADABB-7849-AD4C-A9E0-624CEAF077D9}"/>
    <cellStyle name="Percent" xfId="1" builtinId="5"/>
  </cellStyles>
  <dxfs count="85">
    <dxf>
      <numFmt numFmtId="165" formatCode="[$-409]m/d/yy\ h:mm\ AM/PM;@"/>
    </dxf>
    <dxf>
      <numFmt numFmtId="2" formatCode="0.00"/>
    </dxf>
    <dxf>
      <numFmt numFmtId="14" formatCode="0.00%"/>
    </dxf>
    <dxf>
      <numFmt numFmtId="13" formatCode="0%"/>
    </dxf>
    <dxf>
      <font>
        <b/>
        <sz val="10"/>
        <color rgb="FFFFFFFF"/>
      </font>
      <fill>
        <patternFill patternType="solid">
          <fgColor rgb="FF0F172A"/>
        </patternFill>
      </fill>
      <alignment horizontal="center" vertical="center" wrapText="1"/>
    </dxf>
    <dxf>
      <font>
        <b/>
        <sz val="10"/>
        <color rgb="FFFFFFFF"/>
      </font>
      <fill>
        <patternFill patternType="solid">
          <fgColor rgb="FF0F172A"/>
        </patternFill>
      </fill>
      <alignment horizontal="center" vertical="center" wrapText="1"/>
    </dxf>
    <dxf>
      <fill>
        <patternFill>
          <bgColor theme="1"/>
        </patternFill>
      </fill>
    </dxf>
    <dxf>
      <fill>
        <patternFill>
          <bgColor theme="1"/>
        </patternFill>
      </fill>
    </dxf>
    <dxf>
      <alignment horizontal="left"/>
    </dxf>
    <dxf>
      <alignment horizontal="left"/>
    </dxf>
    <dxf>
      <alignment vertical="bottom"/>
    </dxf>
    <dxf>
      <alignment vertical="bottom"/>
    </dxf>
    <dxf>
      <numFmt numFmtId="166" formatCode="yyyy\-mm\-dd\ h:mm;@"/>
    </dxf>
    <dxf>
      <numFmt numFmtId="2" formatCode="0.00"/>
    </dxf>
    <dxf>
      <numFmt numFmtId="2" formatCode="0.00"/>
    </dxf>
    <dxf>
      <numFmt numFmtId="165" formatCode="[$-409]m/d/yy\ h:mm\ AM/PM;@"/>
    </dxf>
    <dxf>
      <numFmt numFmtId="165" formatCode="[$-409]m/d/yy\ h:mm\ AM/PM;@"/>
    </dxf>
    <dxf>
      <alignment wrapText="1"/>
    </dxf>
    <dxf>
      <alignment vertical="center"/>
    </dxf>
    <dxf>
      <alignment vertical="center"/>
    </dxf>
    <dxf>
      <alignment vertical="center"/>
    </dxf>
    <dxf>
      <alignment horizontal="center"/>
    </dxf>
    <dxf>
      <alignment horizontal="center"/>
    </dxf>
    <dxf>
      <alignment vertical="center"/>
    </dxf>
    <dxf>
      <numFmt numFmtId="165" formatCode="[$-409]m/d/yy\ h:mm\ AM/PM;@"/>
    </dxf>
    <dxf>
      <alignment horizontal="center"/>
    </dxf>
    <dxf>
      <alignment horizontal="center"/>
    </dxf>
    <dxf>
      <numFmt numFmtId="166" formatCode="yyyy\-mm\-dd\ h:mm;@"/>
    </dxf>
    <dxf>
      <numFmt numFmtId="165" formatCode="[$-409]m/d/yy\ h:mm\ AM/PM;@"/>
    </dxf>
    <dxf>
      <numFmt numFmtId="2" formatCode="0.00"/>
    </dxf>
    <dxf>
      <numFmt numFmtId="14" formatCode="0.00%"/>
    </dxf>
    <dxf>
      <numFmt numFmtId="13" formatCode="0%"/>
    </dxf>
    <dxf>
      <font>
        <b/>
        <sz val="10"/>
        <color rgb="FFFFFFFF"/>
      </font>
      <fill>
        <patternFill patternType="solid">
          <fgColor rgb="FF0F172A"/>
        </patternFill>
      </fill>
      <alignment horizontal="center" vertical="center" wrapText="1"/>
    </dxf>
    <dxf>
      <font>
        <b/>
        <sz val="10"/>
        <color rgb="FFFFFFFF"/>
      </font>
      <fill>
        <patternFill patternType="solid">
          <fgColor rgb="FF0F172A"/>
        </patternFill>
      </fill>
      <alignment horizontal="center" vertical="center" wrapText="1"/>
    </dxf>
    <dxf>
      <fill>
        <patternFill>
          <bgColor theme="1"/>
        </patternFill>
      </fill>
    </dxf>
    <dxf>
      <fill>
        <patternFill>
          <bgColor theme="1"/>
        </patternFill>
      </fill>
    </dxf>
    <dxf>
      <alignment horizontal="left"/>
    </dxf>
    <dxf>
      <alignment horizontal="left"/>
    </dxf>
    <dxf>
      <alignment vertical="bottom"/>
    </dxf>
    <dxf>
      <alignment vertical="bottom"/>
    </dxf>
    <dxf>
      <numFmt numFmtId="166" formatCode="yyyy\-mm\-dd\ h:mm;@"/>
    </dxf>
    <dxf>
      <numFmt numFmtId="2" formatCode="0.00"/>
    </dxf>
    <dxf>
      <numFmt numFmtId="2" formatCode="0.00"/>
    </dxf>
    <dxf>
      <numFmt numFmtId="165" formatCode="[$-409]m/d/yy\ h:mm\ AM/PM;@"/>
    </dxf>
    <dxf>
      <numFmt numFmtId="165" formatCode="[$-409]m/d/yy\ h:mm\ AM/PM;@"/>
    </dxf>
    <dxf>
      <alignment wrapText="1"/>
    </dxf>
    <dxf>
      <alignment vertical="center"/>
    </dxf>
    <dxf>
      <alignment vertical="center"/>
    </dxf>
    <dxf>
      <alignment vertical="center"/>
    </dxf>
    <dxf>
      <alignment horizontal="center"/>
    </dxf>
    <dxf>
      <alignment horizontal="center"/>
    </dxf>
    <dxf>
      <alignment vertical="center"/>
    </dxf>
    <dxf>
      <numFmt numFmtId="165" formatCode="[$-409]m/d/yy\ h:mm\ AM/PM;@"/>
    </dxf>
    <dxf>
      <alignment horizontal="center"/>
    </dxf>
    <dxf>
      <alignment horizontal="center"/>
    </dxf>
    <dxf>
      <numFmt numFmtId="166" formatCode="yyyy\-mm\-dd\ h:mm;@"/>
    </dxf>
    <dxf>
      <numFmt numFmtId="166" formatCode="yyyy\-mm\-dd\ h:mm;@"/>
    </dxf>
    <dxf>
      <alignment horizontal="center"/>
    </dxf>
    <dxf>
      <alignment horizontal="center"/>
    </dxf>
    <dxf>
      <numFmt numFmtId="165" formatCode="[$-409]m/d/yy\ h:mm\ AM/PM;@"/>
    </dxf>
    <dxf>
      <alignment vertical="center"/>
    </dxf>
    <dxf>
      <alignment horizontal="center"/>
    </dxf>
    <dxf>
      <alignment horizontal="center"/>
    </dxf>
    <dxf>
      <alignment vertical="center"/>
    </dxf>
    <dxf>
      <alignment vertical="center"/>
    </dxf>
    <dxf>
      <alignment vertical="center"/>
    </dxf>
    <dxf>
      <alignment wrapText="1"/>
    </dxf>
    <dxf>
      <numFmt numFmtId="165" formatCode="[$-409]m/d/yy\ h:mm\ AM/PM;@"/>
    </dxf>
    <dxf>
      <numFmt numFmtId="165" formatCode="[$-409]m/d/yy\ h:mm\ AM/PM;@"/>
    </dxf>
    <dxf>
      <numFmt numFmtId="2" formatCode="0.00"/>
    </dxf>
    <dxf>
      <numFmt numFmtId="2" formatCode="0.00"/>
    </dxf>
    <dxf>
      <numFmt numFmtId="166" formatCode="yyyy\-mm\-dd\ h:mm;@"/>
    </dxf>
    <dxf>
      <numFmt numFmtId="166" formatCode="yyyy\-mm\-dd\ h:mm;@"/>
    </dxf>
    <dxf>
      <alignment vertical="bottom"/>
    </dxf>
    <dxf>
      <alignment vertical="bottom"/>
    </dxf>
    <dxf>
      <alignment horizontal="left"/>
    </dxf>
    <dxf>
      <alignment horizontal="left"/>
    </dxf>
    <dxf>
      <fill>
        <patternFill>
          <bgColor theme="1"/>
        </patternFill>
      </fill>
    </dxf>
    <dxf>
      <fill>
        <patternFill>
          <bgColor theme="1"/>
        </patternFill>
      </fill>
    </dxf>
    <dxf>
      <font>
        <b/>
        <sz val="10"/>
        <color rgb="FFFFFFFF"/>
      </font>
      <fill>
        <patternFill patternType="solid">
          <fgColor rgb="FF0F172A"/>
        </patternFill>
      </fill>
      <alignment horizontal="center" vertical="center" wrapText="1"/>
    </dxf>
    <dxf>
      <font>
        <b/>
        <sz val="10"/>
        <color rgb="FFFFFFFF"/>
      </font>
      <fill>
        <patternFill patternType="solid">
          <fgColor rgb="FF0F172A"/>
        </patternFill>
      </fill>
      <alignment horizontal="center" vertical="center" wrapText="1"/>
    </dxf>
    <dxf>
      <numFmt numFmtId="13" formatCode="0%"/>
    </dxf>
    <dxf>
      <numFmt numFmtId="14" formatCode="0.00%"/>
    </dxf>
    <dxf>
      <numFmt numFmtId="2" formatCode="0.00"/>
    </dxf>
    <dxf>
      <numFmt numFmtId="165" formatCode="[$-409]m/d/yy\ h:mm\ AM/P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r>
              <a:rPr lang="en-US" sz="1200">
                <a:solidFill>
                  <a:schemeClr val="bg1"/>
                </a:solidFill>
                <a:latin typeface="Arial" panose="020B0604020202020204" pitchFamily="34" charset="0"/>
                <a:cs typeface="Arial" panose="020B0604020202020204" pitchFamily="34" charset="0"/>
              </a:rPr>
              <a:t>Selected run vs all runs: Judge Scoring</a:t>
            </a:r>
          </a:p>
        </c:rich>
      </c:tx>
      <c:overlay val="0"/>
      <c:spPr>
        <a:noFill/>
        <a:ln>
          <a:noFill/>
        </a:ln>
        <a:effectLst/>
      </c:spPr>
    </c:title>
    <c:autoTitleDeleted val="0"/>
    <c:plotArea>
      <c:layout/>
      <c:barChart>
        <c:barDir val="bar"/>
        <c:grouping val="clustered"/>
        <c:varyColors val="0"/>
        <c:ser>
          <c:idx val="0"/>
          <c:order val="0"/>
          <c:tx>
            <c:v>Value</c:v>
          </c:tx>
          <c:spPr>
            <a:pattFill prst="ltUpDiag">
              <a:fgClr>
                <a:schemeClr val="accent1"/>
              </a:fgClr>
              <a:bgClr>
                <a:schemeClr val="lt1"/>
              </a:bgClr>
            </a:pattFill>
            <a:ln>
              <a:noFill/>
            </a:ln>
            <a:effectLst/>
          </c:spPr>
          <c:invertIfNegative val="1"/>
          <c:cat>
            <c:strRef>
              <c:f>Dashboard!$H$26:$H$27</c:f>
              <c:strCache>
                <c:ptCount val="2"/>
                <c:pt idx="0">
                  <c:v>Selected run</c:v>
                </c:pt>
                <c:pt idx="1">
                  <c:v>All runs avg</c:v>
                </c:pt>
              </c:strCache>
            </c:strRef>
          </c:cat>
          <c:val>
            <c:numRef>
              <c:f>Dashboard!$I$26:$I$27</c:f>
              <c:numCache>
                <c:formatCode>0.00</c:formatCode>
                <c:ptCount val="2"/>
                <c:pt idx="0">
                  <c:v>3.5333333333333332</c:v>
                </c:pt>
                <c:pt idx="1">
                  <c:v>3.5333333333333332</c:v>
                </c:pt>
              </c:numCache>
            </c:numRef>
          </c:val>
          <c:extLst>
            <c:ext xmlns:c16="http://schemas.microsoft.com/office/drawing/2014/chart" uri="{C3380CC4-5D6E-409C-BE32-E72D297353CC}">
              <c16:uniqueId val="{00000000-3099-9C48-9808-BF536879A26D}"/>
            </c:ext>
          </c:extLst>
        </c:ser>
        <c:dLbls>
          <c:showLegendKey val="0"/>
          <c:showVal val="0"/>
          <c:showCatName val="0"/>
          <c:showSerName val="0"/>
          <c:showPercent val="0"/>
          <c:showBubbleSize val="0"/>
        </c:dLbls>
        <c:gapWidth val="269"/>
        <c:overlap val="-20"/>
        <c:axId val="48650112"/>
        <c:axId val="48672768"/>
      </c:barChart>
      <c:catAx>
        <c:axId val="48650112"/>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48672768"/>
        <c:crosses val="autoZero"/>
        <c:auto val="1"/>
        <c:lblAlgn val="ctr"/>
        <c:lblOffset val="100"/>
        <c:noMultiLvlLbl val="0"/>
      </c:catAx>
      <c:valAx>
        <c:axId val="48672768"/>
        <c:scaling>
          <c:orientation val="minMax"/>
        </c:scaling>
        <c:delete val="0"/>
        <c:axPos val="b"/>
        <c:majorGridlines>
          <c:spPr>
            <a:ln w="9525" cap="flat" cmpd="sng" algn="ctr">
              <a:solidFill>
                <a:schemeClr val="lt1">
                  <a:alpha val="2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8650112"/>
        <c:crosses val="autoZero"/>
        <c:crossBetween val="between"/>
      </c:valAx>
      <c:spPr>
        <a:noFill/>
        <a:ln>
          <a:noFill/>
        </a:ln>
        <a:effectLst/>
      </c:spPr>
    </c:plotArea>
    <c:plotVisOnly val="1"/>
    <c:dispBlanksAs val="zero"/>
    <c:showDLblsOverMax val="1"/>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1200" b="0">
                <a:latin typeface="Arial" panose="020B0604020202020204" pitchFamily="34" charset="0"/>
                <a:cs typeface="Arial" panose="020B0604020202020204" pitchFamily="34" charset="0"/>
              </a:rPr>
              <a:t>Metrics Comparison</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barChart>
        <c:barDir val="col"/>
        <c:grouping val="clustered"/>
        <c:varyColors val="0"/>
        <c:ser>
          <c:idx val="0"/>
          <c:order val="0"/>
          <c:tx>
            <c:strRef>
              <c:f>Dashboard!$I$18</c:f>
              <c:strCache>
                <c:ptCount val="1"/>
                <c:pt idx="0">
                  <c:v>Current Avg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Dashboard!$H$19:$H$21</c:f>
              <c:strCache>
                <c:ptCount val="3"/>
                <c:pt idx="0">
                  <c:v>Source count match %</c:v>
                </c:pt>
                <c:pt idx="1">
                  <c:v>Source names match %</c:v>
                </c:pt>
                <c:pt idx="2">
                  <c:v>Avg. Faithfulness Judge</c:v>
                </c:pt>
              </c:strCache>
            </c:strRef>
          </c:cat>
          <c:val>
            <c:numRef>
              <c:f>Dashboard!$I$19:$I$21</c:f>
              <c:numCache>
                <c:formatCode>0.0%</c:formatCode>
                <c:ptCount val="3"/>
                <c:pt idx="0">
                  <c:v>0.76666666666666672</c:v>
                </c:pt>
                <c:pt idx="1">
                  <c:v>0.57462189024886345</c:v>
                </c:pt>
                <c:pt idx="2" formatCode="0%">
                  <c:v>0.75</c:v>
                </c:pt>
              </c:numCache>
            </c:numRef>
          </c:val>
          <c:extLst>
            <c:ext xmlns:c16="http://schemas.microsoft.com/office/drawing/2014/chart" uri="{C3380CC4-5D6E-409C-BE32-E72D297353CC}">
              <c16:uniqueId val="{00000000-90AE-FF40-8BDC-4D974285AA32}"/>
            </c:ext>
          </c:extLst>
        </c:ser>
        <c:ser>
          <c:idx val="1"/>
          <c:order val="1"/>
          <c:tx>
            <c:strRef>
              <c:f>Dashboard!$J$18</c:f>
              <c:strCache>
                <c:ptCount val="1"/>
                <c:pt idx="0">
                  <c:v>All runs avg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Dashboard!$H$19:$H$21</c:f>
              <c:strCache>
                <c:ptCount val="3"/>
                <c:pt idx="0">
                  <c:v>Source count match %</c:v>
                </c:pt>
                <c:pt idx="1">
                  <c:v>Source names match %</c:v>
                </c:pt>
                <c:pt idx="2">
                  <c:v>Avg. Faithfulness Judge</c:v>
                </c:pt>
              </c:strCache>
            </c:strRef>
          </c:cat>
          <c:val>
            <c:numRef>
              <c:f>Dashboard!$J$19:$J$21</c:f>
              <c:numCache>
                <c:formatCode>0.0%</c:formatCode>
                <c:ptCount val="3"/>
                <c:pt idx="0">
                  <c:v>0.76666666666666672</c:v>
                </c:pt>
                <c:pt idx="1">
                  <c:v>0.57462189024886345</c:v>
                </c:pt>
                <c:pt idx="2">
                  <c:v>0.75</c:v>
                </c:pt>
              </c:numCache>
            </c:numRef>
          </c:val>
          <c:extLst>
            <c:ext xmlns:c16="http://schemas.microsoft.com/office/drawing/2014/chart" uri="{C3380CC4-5D6E-409C-BE32-E72D297353CC}">
              <c16:uniqueId val="{00000001-90AE-FF40-8BDC-4D974285AA32}"/>
            </c:ext>
          </c:extLst>
        </c:ser>
        <c:dLbls>
          <c:dLblPos val="outEnd"/>
          <c:showLegendKey val="0"/>
          <c:showVal val="1"/>
          <c:showCatName val="0"/>
          <c:showSerName val="0"/>
          <c:showPercent val="0"/>
          <c:showBubbleSize val="0"/>
        </c:dLbls>
        <c:gapWidth val="267"/>
        <c:overlap val="-43"/>
        <c:axId val="647320831"/>
        <c:axId val="647317695"/>
      </c:barChart>
      <c:catAx>
        <c:axId val="647320831"/>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647317695"/>
        <c:crosses val="autoZero"/>
        <c:auto val="1"/>
        <c:lblAlgn val="ctr"/>
        <c:lblOffset val="100"/>
        <c:noMultiLvlLbl val="0"/>
      </c:catAx>
      <c:valAx>
        <c:axId val="647317695"/>
        <c:scaling>
          <c:orientation val="minMax"/>
        </c:scaling>
        <c:delete val="0"/>
        <c:axPos val="l"/>
        <c:majorGridlines>
          <c:spPr>
            <a:ln w="9525" cap="flat" cmpd="sng" algn="ctr">
              <a:solidFill>
                <a:schemeClr val="dk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647320831"/>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'Runs Over Time'!$I$18</c:f>
              <c:strCache>
                <c:ptCount val="1"/>
                <c:pt idx="0">
                  <c:v>Source Count Match</c:v>
                </c:pt>
              </c:strCache>
            </c:strRef>
          </c:tx>
          <c:spPr>
            <a:ln w="38100" cap="rnd">
              <a:solidFill>
                <a:schemeClr val="accent1"/>
              </a:solidFill>
              <a:round/>
            </a:ln>
            <a:effectLst/>
          </c:spPr>
          <c:marker>
            <c:symbol val="none"/>
          </c:marker>
          <c:cat>
            <c:strRef>
              <c:f>'Runs Over Time'!$G$19:$G$22</c:f>
              <c:strCache>
                <c:ptCount val="4"/>
                <c:pt idx="0">
                  <c:v>17313</c:v>
                </c:pt>
                <c:pt idx="1">
                  <c:v>17342</c:v>
                </c:pt>
                <c:pt idx="2">
                  <c:v>17348</c:v>
                </c:pt>
                <c:pt idx="3">
                  <c:v>17355</c:v>
                </c:pt>
              </c:strCache>
            </c:strRef>
          </c:cat>
          <c:val>
            <c:numRef>
              <c:f>'Runs Over Time'!$I$19:$I$22</c:f>
              <c:numCache>
                <c:formatCode>0.00</c:formatCode>
                <c:ptCount val="4"/>
                <c:pt idx="0">
                  <c:v>0.8</c:v>
                </c:pt>
                <c:pt idx="1">
                  <c:v>0.8666666666666667</c:v>
                </c:pt>
                <c:pt idx="2">
                  <c:v>0.93333333333333335</c:v>
                </c:pt>
                <c:pt idx="3">
                  <c:v>0.46666666666666667</c:v>
                </c:pt>
              </c:numCache>
            </c:numRef>
          </c:val>
          <c:smooth val="0"/>
          <c:extLst>
            <c:ext xmlns:c16="http://schemas.microsoft.com/office/drawing/2014/chart" uri="{C3380CC4-5D6E-409C-BE32-E72D297353CC}">
              <c16:uniqueId val="{00000000-AA04-D340-91A6-943C0B5ACD8F}"/>
            </c:ext>
          </c:extLst>
        </c:ser>
        <c:ser>
          <c:idx val="1"/>
          <c:order val="1"/>
          <c:tx>
            <c:strRef>
              <c:f>'Runs Over Time'!$J$18</c:f>
              <c:strCache>
                <c:ptCount val="1"/>
                <c:pt idx="0">
                  <c:v>Source Names Match</c:v>
                </c:pt>
              </c:strCache>
            </c:strRef>
          </c:tx>
          <c:spPr>
            <a:ln w="38100" cap="rnd">
              <a:solidFill>
                <a:schemeClr val="accent2"/>
              </a:solidFill>
              <a:round/>
            </a:ln>
            <a:effectLst/>
          </c:spPr>
          <c:marker>
            <c:symbol val="none"/>
          </c:marker>
          <c:cat>
            <c:strRef>
              <c:f>'Runs Over Time'!$G$19:$G$22</c:f>
              <c:strCache>
                <c:ptCount val="4"/>
                <c:pt idx="0">
                  <c:v>17313</c:v>
                </c:pt>
                <c:pt idx="1">
                  <c:v>17342</c:v>
                </c:pt>
                <c:pt idx="2">
                  <c:v>17348</c:v>
                </c:pt>
                <c:pt idx="3">
                  <c:v>17355</c:v>
                </c:pt>
              </c:strCache>
            </c:strRef>
          </c:cat>
          <c:val>
            <c:numRef>
              <c:f>'Runs Over Time'!$J$19:$J$22</c:f>
              <c:numCache>
                <c:formatCode>0.00</c:formatCode>
                <c:ptCount val="4"/>
                <c:pt idx="0">
                  <c:v>0.64826070746296571</c:v>
                </c:pt>
                <c:pt idx="1">
                  <c:v>0.63140814441039739</c:v>
                </c:pt>
                <c:pt idx="2">
                  <c:v>0.69399175543127478</c:v>
                </c:pt>
                <c:pt idx="3">
                  <c:v>0.3248269536908161</c:v>
                </c:pt>
              </c:numCache>
            </c:numRef>
          </c:val>
          <c:smooth val="0"/>
          <c:extLst>
            <c:ext xmlns:c16="http://schemas.microsoft.com/office/drawing/2014/chart" uri="{C3380CC4-5D6E-409C-BE32-E72D297353CC}">
              <c16:uniqueId val="{00000001-AA04-D340-91A6-943C0B5ACD8F}"/>
            </c:ext>
          </c:extLst>
        </c:ser>
        <c:ser>
          <c:idx val="2"/>
          <c:order val="2"/>
          <c:tx>
            <c:strRef>
              <c:f>'Runs Over Time'!$K$18</c:f>
              <c:strCache>
                <c:ptCount val="1"/>
                <c:pt idx="0">
                  <c:v>Faithfulness</c:v>
                </c:pt>
              </c:strCache>
            </c:strRef>
          </c:tx>
          <c:spPr>
            <a:ln w="38100" cap="rnd">
              <a:solidFill>
                <a:schemeClr val="accent3"/>
              </a:solidFill>
              <a:round/>
            </a:ln>
            <a:effectLst/>
          </c:spPr>
          <c:marker>
            <c:symbol val="none"/>
          </c:marker>
          <c:cat>
            <c:strRef>
              <c:f>'Runs Over Time'!$G$19:$G$22</c:f>
              <c:strCache>
                <c:ptCount val="4"/>
                <c:pt idx="0">
                  <c:v>17313</c:v>
                </c:pt>
                <c:pt idx="1">
                  <c:v>17342</c:v>
                </c:pt>
                <c:pt idx="2">
                  <c:v>17348</c:v>
                </c:pt>
                <c:pt idx="3">
                  <c:v>17355</c:v>
                </c:pt>
              </c:strCache>
            </c:strRef>
          </c:cat>
          <c:val>
            <c:numRef>
              <c:f>'Runs Over Time'!$K$19:$K$22</c:f>
              <c:numCache>
                <c:formatCode>0.00</c:formatCode>
                <c:ptCount val="4"/>
                <c:pt idx="0">
                  <c:v>0.66666666666666663</c:v>
                </c:pt>
                <c:pt idx="1">
                  <c:v>0.8666666666666667</c:v>
                </c:pt>
                <c:pt idx="2">
                  <c:v>0.8</c:v>
                </c:pt>
                <c:pt idx="3">
                  <c:v>0.66666666666666663</c:v>
                </c:pt>
              </c:numCache>
            </c:numRef>
          </c:val>
          <c:smooth val="0"/>
          <c:extLst>
            <c:ext xmlns:c16="http://schemas.microsoft.com/office/drawing/2014/chart" uri="{C3380CC4-5D6E-409C-BE32-E72D297353CC}">
              <c16:uniqueId val="{00000002-AA04-D340-91A6-943C0B5ACD8F}"/>
            </c:ext>
          </c:extLst>
        </c:ser>
        <c:dLbls>
          <c:showLegendKey val="0"/>
          <c:showVal val="0"/>
          <c:showCatName val="0"/>
          <c:showSerName val="0"/>
          <c:showPercent val="0"/>
          <c:showBubbleSize val="0"/>
        </c:dLbls>
        <c:smooth val="0"/>
        <c:axId val="646124351"/>
        <c:axId val="646125695"/>
      </c:lineChart>
      <c:catAx>
        <c:axId val="646124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646125695"/>
        <c:crosses val="autoZero"/>
        <c:auto val="1"/>
        <c:lblAlgn val="ctr"/>
        <c:lblOffset val="100"/>
        <c:noMultiLvlLbl val="0"/>
      </c:catAx>
      <c:valAx>
        <c:axId val="64612569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12435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lotArea>
      <c:layout/>
      <c:lineChart>
        <c:grouping val="standard"/>
        <c:varyColors val="0"/>
        <c:ser>
          <c:idx val="0"/>
          <c:order val="0"/>
          <c:tx>
            <c:strRef>
              <c:f>'Runs Over Time'!$L$18</c:f>
              <c:strCache>
                <c:ptCount val="1"/>
                <c:pt idx="0">
                  <c:v>Scoring</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'Runs Over Time'!$G$19:$G$22</c:f>
              <c:strCache>
                <c:ptCount val="4"/>
                <c:pt idx="0">
                  <c:v>17313</c:v>
                </c:pt>
                <c:pt idx="1">
                  <c:v>17342</c:v>
                </c:pt>
                <c:pt idx="2">
                  <c:v>17348</c:v>
                </c:pt>
                <c:pt idx="3">
                  <c:v>17355</c:v>
                </c:pt>
              </c:strCache>
            </c:strRef>
          </c:cat>
          <c:val>
            <c:numRef>
              <c:f>'Runs Over Time'!$L$19:$L$22</c:f>
              <c:numCache>
                <c:formatCode>0.00</c:formatCode>
                <c:ptCount val="4"/>
                <c:pt idx="0">
                  <c:v>3.7333333333333334</c:v>
                </c:pt>
                <c:pt idx="1">
                  <c:v>3.8</c:v>
                </c:pt>
                <c:pt idx="2">
                  <c:v>4.2666666666666666</c:v>
                </c:pt>
                <c:pt idx="3">
                  <c:v>2.3333333333333335</c:v>
                </c:pt>
              </c:numCache>
            </c:numRef>
          </c:val>
          <c:smooth val="0"/>
          <c:extLst>
            <c:ext xmlns:c16="http://schemas.microsoft.com/office/drawing/2014/chart" uri="{C3380CC4-5D6E-409C-BE32-E72D297353CC}">
              <c16:uniqueId val="{00000000-92FB-9442-9519-26D134BCA01B}"/>
            </c:ext>
          </c:extLst>
        </c:ser>
        <c:dLbls>
          <c:dLblPos val="ctr"/>
          <c:showLegendKey val="0"/>
          <c:showVal val="1"/>
          <c:showCatName val="0"/>
          <c:showSerName val="0"/>
          <c:showPercent val="0"/>
          <c:showBubbleSize val="0"/>
        </c:dLbls>
        <c:marker val="1"/>
        <c:smooth val="0"/>
        <c:axId val="646124351"/>
        <c:axId val="646125695"/>
      </c:lineChart>
      <c:catAx>
        <c:axId val="64612435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646125695"/>
        <c:crosses val="autoZero"/>
        <c:auto val="1"/>
        <c:lblAlgn val="ctr"/>
        <c:lblOffset val="100"/>
        <c:noMultiLvlLbl val="0"/>
      </c:catAx>
      <c:valAx>
        <c:axId val="646125695"/>
        <c:scaling>
          <c:orientation val="minMax"/>
        </c:scaling>
        <c:delete val="1"/>
        <c:axPos val="l"/>
        <c:numFmt formatCode="0.00" sourceLinked="1"/>
        <c:majorTickMark val="none"/>
        <c:minorTickMark val="none"/>
        <c:tickLblPos val="nextTo"/>
        <c:crossAx val="646124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0</xdr:rowOff>
    </xdr:from>
    <xdr:to>
      <xdr:col>5</xdr:col>
      <xdr:colOff>1177636</xdr:colOff>
      <xdr:row>13</xdr:row>
      <xdr:rowOff>9236</xdr:rowOff>
    </xdr:to>
    <xdr:graphicFrame macro="">
      <xdr:nvGraphicFramePr>
        <xdr:cNvPr id="3" name="Chart">
          <a:extLst>
            <a:ext uri="{FF2B5EF4-FFF2-40B4-BE49-F238E27FC236}">
              <a16:creationId xmlns:a16="http://schemas.microsoft.com/office/drawing/2014/main" id="{DE1DB766-35A7-DF40-939F-3730389291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5772</xdr:colOff>
      <xdr:row>1</xdr:row>
      <xdr:rowOff>227446</xdr:rowOff>
    </xdr:from>
    <xdr:to>
      <xdr:col>10</xdr:col>
      <xdr:colOff>1131454</xdr:colOff>
      <xdr:row>13</xdr:row>
      <xdr:rowOff>80818</xdr:rowOff>
    </xdr:to>
    <xdr:graphicFrame macro="">
      <xdr:nvGraphicFramePr>
        <xdr:cNvPr id="6" name="Chart 5">
          <a:extLst>
            <a:ext uri="{FF2B5EF4-FFF2-40B4-BE49-F238E27FC236}">
              <a16:creationId xmlns:a16="http://schemas.microsoft.com/office/drawing/2014/main" id="{A8EAC169-28C4-221D-F603-34DF487427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63500</xdr:colOff>
      <xdr:row>1</xdr:row>
      <xdr:rowOff>158750</xdr:rowOff>
    </xdr:from>
    <xdr:to>
      <xdr:col>6</xdr:col>
      <xdr:colOff>850900</xdr:colOff>
      <xdr:row>14</xdr:row>
      <xdr:rowOff>57150</xdr:rowOff>
    </xdr:to>
    <xdr:graphicFrame macro="">
      <xdr:nvGraphicFramePr>
        <xdr:cNvPr id="11" name="Chart 10">
          <a:extLst>
            <a:ext uri="{FF2B5EF4-FFF2-40B4-BE49-F238E27FC236}">
              <a16:creationId xmlns:a16="http://schemas.microsoft.com/office/drawing/2014/main" id="{3F8A2FAC-BA31-5600-CE26-0B17C3C753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927100</xdr:colOff>
      <xdr:row>1</xdr:row>
      <xdr:rowOff>165100</xdr:rowOff>
    </xdr:from>
    <xdr:to>
      <xdr:col>12</xdr:col>
      <xdr:colOff>12700</xdr:colOff>
      <xdr:row>14</xdr:row>
      <xdr:rowOff>63500</xdr:rowOff>
    </xdr:to>
    <xdr:graphicFrame macro="">
      <xdr:nvGraphicFramePr>
        <xdr:cNvPr id="13" name="Chart 12">
          <a:extLst>
            <a:ext uri="{FF2B5EF4-FFF2-40B4-BE49-F238E27FC236}">
              <a16:creationId xmlns:a16="http://schemas.microsoft.com/office/drawing/2014/main" id="{E1982D86-58ED-CC47-A513-5A5E4894ED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kedin User" refreshedDate="46220.554578703704" createdVersion="8" refreshedVersion="8" minRefreshableVersion="3" recordCount="60" xr:uid="{59FAA077-54C3-334C-9F7A-CF520A465354}">
  <cacheSource type="worksheet">
    <worksheetSource name="Run_History"/>
  </cacheSource>
  <cacheFields count="16">
    <cacheField name="question" numFmtId="0">
      <sharedItems/>
    </cacheField>
    <cacheField name="expected_sources" numFmtId="0">
      <sharedItems/>
    </cacheField>
    <cacheField name="expected_source_count" numFmtId="0">
      <sharedItems containsSemiMixedTypes="0" containsString="0" containsNumber="1" containsInteger="1" minValue="0" maxValue="2"/>
    </cacheField>
    <cacheField name="expected_answer" numFmtId="0">
      <sharedItems longText="1"/>
    </cacheField>
    <cacheField name="eval_source_count" numFmtId="0">
      <sharedItems containsSemiMixedTypes="0" containsString="0" containsNumber="1" containsInteger="1" minValue="0" maxValue="1"/>
    </cacheField>
    <cacheField name="eval_source_match" numFmtId="0">
      <sharedItems containsSemiMixedTypes="0" containsString="0" containsNumber="1" minValue="0" maxValue="0.85714285714285721"/>
    </cacheField>
    <cacheField name="scoring_judge" numFmtId="0">
      <sharedItems containsSemiMixedTypes="0" containsString="0" containsNumber="1" containsInteger="1" minValue="1" maxValue="5"/>
    </cacheField>
    <cacheField name="faithfulness_judge" numFmtId="0">
      <sharedItems containsSemiMixedTypes="0" containsString="0" containsNumber="1" containsInteger="1" minValue="0" maxValue="1"/>
    </cacheField>
    <cacheField name="faithfulness_judge_reason" numFmtId="0">
      <sharedItems longText="1"/>
    </cacheField>
    <cacheField name="agent_output" numFmtId="0">
      <sharedItems longText="1"/>
    </cacheField>
    <cacheField name="id" numFmtId="0">
      <sharedItems containsSemiMixedTypes="0" containsString="0" containsNumber="1" containsInteger="1" minValue="1" maxValue="15"/>
    </cacheField>
    <cacheField name="createdAt" numFmtId="0">
      <sharedItems/>
    </cacheField>
    <cacheField name="updatedAt" numFmtId="0">
      <sharedItems/>
    </cacheField>
    <cacheField name="execution_id" numFmtId="0">
      <sharedItems containsBlank="1" count="5">
        <s v="17313"/>
        <s v="17342"/>
        <s v="17348"/>
        <s v="17355"/>
        <m u="1"/>
      </sharedItems>
    </cacheField>
    <cacheField name="execution_time" numFmtId="166">
      <sharedItems containsSemiMixedTypes="0" containsNonDate="0" containsDate="1" containsString="0" minDate="2026-07-15T05:59:00" maxDate="2026-07-17T16:08:00" count="5">
        <d v="2026-07-15T05:59:00"/>
        <d v="2026-07-17T05:59:00"/>
        <d v="2026-07-17T14:11:00"/>
        <d v="2026-07-17T15:13:00"/>
        <d v="2026-07-17T16:08:00"/>
      </sharedItems>
    </cacheField>
    <cacheField name="comment" numFmtId="0">
      <sharedItems containsBlank="1" count="11">
        <s v="gpt-5-mini medium"/>
        <s v="gpt-5.4-mini medium"/>
        <s v="gpt-5-mini high"/>
        <s v="gemini-3.5-flash"/>
        <m u="1"/>
        <s v="GPT 5.5 Low" u="1"/>
        <s v="Gemini 3.5 Flash" u="1"/>
        <s v="GPT 5.4 mini high" u="1"/>
        <s v="GPT 5.4 nano high" u="1"/>
        <s v="GPT 5.5 High" u="1"/>
        <s v="Gemini 2.5 Flash Lite"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s v="What login security is required for remote access and important applications?"/>
    <s v="Document 9: IT Usage and Security Policies"/>
    <n v="1"/>
    <s v="Multi-Factor Authentication (MFA)"/>
    <n v="1"/>
    <n v="0.82000000000000006"/>
    <n v="2"/>
    <n v="1"/>
    <s v="Every factual claim in the AI response is directly supported by Document 9 (IT Usage and Security Policies); no unsupported or contradictory statements were added."/>
    <s v="Multi-Factor Authentication (MFA) is required for remote access and important applications.^1_x000a__x000a_- Passwords: minimum 8 characters, mixed case, numbers, symbols.  _x000a_- Passphrases are recommended.  _x000a_- Key accounts require password changes every 90 days.  _x000a_- Do not reuse company passwords on other sites.  _x000a_- MFA examples: authenticator app codes or text messages.  _x000a_- Never share passwords; IT will never ask by email._x000a__x000a_Sources: _x000a_- ^1 [Document 9_ IT Usage and Security Policies.txt](https://raw.githubusercontent.com/tobiaszwingmann/ai-evaluations-in-n8n-building-high-quality-outputs-you-can-trust-8508000/main/documents/Document%209_%20IT%20Usage%20and%20Security%20Policies.txt)"/>
    <n v="1"/>
    <s v="2026-07-15T22:52:45.649Z"/>
    <s v="2026-07-17T05:49:45.890Z"/>
    <x v="0"/>
    <x v="0"/>
    <x v="0"/>
  </r>
  <r>
    <s v="What technique should you use to operate a fire extinguisher?"/>
    <s v="Document 10: Workplace Safety and Emergency Procedures"/>
    <n v="1"/>
    <s v="The PASS method: Pull the pin, Aim at the base, Squeeze the trigger, Sweep side to side"/>
    <n v="1"/>
    <n v="0.85483870967741937"/>
    <n v="5"/>
    <n v="0"/>
    <s v="While the PASS steps are verbatim in Document 10, the AI response also lists Documents 1–9 by name — those filenames/claims are not present or supported by the provided source (only Document 10 was supplied)."/>
    <s v="- Document 1_ Welcome and Company Overview.txt_x000a_- Document 2_ Onboarding Process and New Hire Orientation.txt_x000a_- Document 3_ General Employment Policies.txt_x000a_- Document 4_ Code of Conduct and Ethics.txt_x000a_- Document 5_ Compensation, Payroll, and Promotions.txt_x000a_- Document 6_ Employee Benefits and Perks.txt_x000a_- Document 7_ Leave and Time Off Policies.txt_x000a_- Document 8_ Performance Reviews and Career Development.txt_x000a_- Document 9_ IT Usage and Security Policies.txt_x000a_- Document 10_ Workplace Safety and Emergency Procedures.txt_x000a__x000a_Relevant file: Document 10_ Workplace Safety and Emergency Procedures.txt_x000a__x000a_Use the PASS method when operating a fire extinguisher: Pull the pin. Aim at the base of the fire. Squeeze the trigger. Sweep side to side.^1_x000a__x000a_Sources:_x000a_- ^1 [Document 10_ Workplace Safety and Emergency Procedures.txt](https://raw.githubusercontent.com/tobiaszwingmann/ai-evaluations-in-n8n-building-high-quality-outputs-you-can-trust-8508000/main/documents/Document%2010_%20Workplace%20Safety%20and%20Emergency%20Procedures.txt)"/>
    <n v="2"/>
    <s v="2026-07-15T22:52:45.649Z"/>
    <s v="2026-07-17T05:50:17.066Z"/>
    <x v="0"/>
    <x v="1"/>
    <x v="0"/>
  </r>
  <r>
    <s v="Where is the primary emergency assembly point during an evacuation?"/>
    <s v="Document 10: Workplace Safety and Emergency Procedures"/>
    <n v="1"/>
    <s v="The parking lot across the street"/>
    <n v="1"/>
    <n v="0.85483870967741937"/>
    <n v="3"/>
    <n v="1"/>
    <s v="The statement matches Document 10’s Emergency Exits and Evacuation section which specifies the primary assembly point is the parking lot across the street (or designated spot on the evacuation map) and instructs personnel to check in with their supervisor or warden."/>
    <s v="The primary assembly point is the parking lot across the street, or the designated spot on the evacuation map. Check in with your supervisor or the warden so we can account for everyone.^1_x000a__x000a_Sources:_x000a_- ^1 [Document 10_ Workplace Safety and Emergency Procedures.txt](https://raw.githubusercontent.com/tobiaszwingmann/ai-evaluations-in-n8n-building-high-quality-outputs-you-can-trust-8508000/main/documents/Document%2010_%20Workplace%20Safety%20and%20Emergency%20Procedures.txt)"/>
    <n v="3"/>
    <s v="2026-07-15T22:52:45.649Z"/>
    <s v="2026-07-17T05:50:58.527Z"/>
    <x v="0"/>
    <x v="1"/>
    <x v="0"/>
  </r>
  <r>
    <s v="How often are employees paid?"/>
    <s v="Document 5: Compensation, Payroll, and Promotions"/>
    <n v="1"/>
    <s v="Every two weeks (bi-weekly), typically every other Friday"/>
    <n v="1"/>
    <n v="0.84210526315789469"/>
    <n v="5"/>
    <n v="1"/>
    <s v="All factual claims (bi-weekly schedule, every other Friday, pay period ending about one week before pay date) are directly supported by Document 5; the listed files match the repository listing and no unsupported information was added."/>
    <s v="Available files:_x000a_- Document 1_ Welcome and Company Overview.txt_x000a_- Document 2_ Onboarding Process and New Hire Orientation.txt_x000a_- Document 3_ General Employment Policies.txt_x000a_- Document 4_ Code of Conduct and Ethics.txt_x000a_- Document 5_ Compensation, Payroll, and Promotions.txt_x000a_- Document 6_ Employee Benefits and Perks.txt_x000a_- Document 7_ Leave and Time Off Policies.txt_x000a_- Document 8_ Performance Reviews and Career Development.txt_x000a_- Document 9_ IT Usage and Security Policies.txt_x000a_- Document 10_ Workplace Safety and Emergency Procedures.txt_x000a__x000a_Relevant file:_x000a_- Document 5_ Compensation, Payroll, and Promotions.txt_x000a__x000a_Employees are paid on a bi-weekly payroll schedule. Paychecks are issued every two weeks, typically every other Friday. Each paycheck covers the two-week pay period that ended about one week before the pay date.^1_x000a__x000a_Sources:_x000a_- ^1 [Document 5_ Compensation, Payroll, and Promotions.txt](https://raw.githubusercontent.com/tobiaszwingmann/ai-evaluations-in-n8n-building-high-quality-outputs-you-can-trust-8508000/main/documents/Document%205_%20Compensation%2C%20Payroll%2C%20and%20Promotions.txt)"/>
    <n v="4"/>
    <s v="2026-07-15T22:52:45.649Z"/>
    <s v="2026-07-17T05:51:28.750Z"/>
    <x v="0"/>
    <x v="1"/>
    <x v="0"/>
  </r>
  <r>
    <s v="Explain the process for requesting parental leave."/>
    <s v="Document 7: Leave and Time Off Policies"/>
    <n v="1"/>
    <s v="Inform HR as early as possible (at least 30 days' notice if feasible). Primary caregivers are eligible for up to 12 weeks, with 6 weeks fully paid; the remaining 6 weeks are unpaid or can be covered using accrued vacation. Secondary caregivers get 2 weeks of paid leave. Work with HR on any FMLA paperwork."/>
    <n v="1"/>
    <n v="0.8085106382978724"/>
    <n v="5"/>
    <n v="1"/>
    <s v="All listed files and every factual claim about the parental leave process (notice, HR system request and manager approval, additional forms/FMLA, timing options, 12-week primary caregiver leave with 6 weeks paid, 2 weeks paid for secondary caregivers, STD concurrency for birth mothers, and benefits coordination) are directly supported by Document 7: Leave and Time Off Policies."/>
    <s v="Available files:_x000a_- Document 1_ Welcome and Company Overview.txt_x000a_- Document 2_ Onboarding Process and New Hire Orientation.txt_x000a_- Document 3_ General Employment Policies.txt_x000a_- Document 4_ Code of Conduct and Ethics.txt_x000a_- Document 5_ Compensation, Payroll, and Promotions.txt_x000a_- Document 6_ Employee Benefits and Perks.txt_x000a_- Document 7_ Leave and Time Off Policies.txt_x000a_- Document 8_ Performance Reviews and Career Development.txt_x000a_- Document 9_ IT Usage and Security Policies.txt_x000a_- Document 10_ Workplace Safety and Emergency Procedures.txt_x000a__x000a_Most relevant file:_x000a_- Document 7_ Leave and Time Off Policies.txt_x000a__x000a_Process to request parental leave:_x000a_- Inform HR as early as possible. Provide 30 days notice if feasible.^1_x000a_- Submit a leave request through the HR system. Manager approves online.^1_x000a_- Work with HR to complete additional forms. FMLA may apply.^1_x000a_- Choose timing: continuous after birth/adoption, or flexible within year.^1_x000a_- For primary caregivers: up to 12 weeks total parental leave.^1_x000a_- Company pays first 6 weeks fully for primary caregivers.^1_x000a_- Remaining 6 weeks may be unpaid or covered using accrued vacation.^1_x000a_- Secondary caregivers receive 2 weeks paid parental leave.^1_x000a_- Birth mothers: short-term disability may run concurrently.^1_x000a_- Coordinate benefits with HR. Paid leave preserves salary and benefits.^1_x000a__x000a_Sources:_x000a_- ^1 [Document 7_ Leave and Time Off Policies.txt](https://raw.githubusercontent.com/tobiaszwingmann/ai-evaluations-in-n8n-building-high-quality-outputs-you-can-trust-8508000/main/documents/Document%207_%20Leave%20and%20Time%20Off%20Policies.txt)"/>
    <n v="5"/>
    <s v="2026-07-15T22:52:45.649Z"/>
    <s v="2026-07-17T05:52:16.162Z"/>
    <x v="0"/>
    <x v="1"/>
    <x v="0"/>
  </r>
  <r>
    <s v="Walk me through the steps of the annual performance review."/>
    <s v="Document 8: Performance Reviews and Career Development"/>
    <n v="1"/>
    <s v="Goals are set at the start of the year. The annual review (year-end, with a mid-year check-in) includes a self-assessment, a manager evaluation against goals, optional 360-degree feedback, a one-on-one review meeting, and a rating/outcome that can influence merit increases or bonuses."/>
    <n v="1"/>
    <n v="0.85483870967741937"/>
    <n v="5"/>
    <n v="1"/>
    <s v="All listed steps and claims are directly supported by Document 8 (Performance Reviews and Career Development). The summary accurately reflects the document’s statements (annual year-end review with mid-year check-in, SMART goals, self-assessment, manager evaluation, optional 360 feedback, review meeting, ratings affecting pay, ongoing feedback, evaluation criteria, career development, training/mentorship, PIPs, and feedback culture)."/>
    <s v="Available files:_x000a_- Document 1_ Welcome and Company Overview.txt_x000a_- Document 2_ Onboarding Process and New Hire Orientation.txt_x000a_- Document 3_ General Employment Policies.txt_x000a_- Document 4_ Code of Conduct and Ethics.txt_x000a_- Document 5_ Compensation, Payroll, and Promotions.txt_x000a_- Document 6_ Employee Benefits and Perks.txt_x000a_- Document 7_ Leave and Time Off Policies.txt_x000a_- Document 8_ Performance Reviews and Career Development.txt_x000a_- Document 9_ IT Usage and Security Policies.txt_x000a_- Document 10_ Workplace Safety and Emergency Procedures.txt_x000a__x000a_Relevant file:_x000a_- Document 8_ Performance Reviews and Career Development.txt_x000a__x000a_Steps of the annual performance review:_x000a_- Annual formal review at year-end; mid-year check-in occurs._x000a_- Set SMART goals with your manager at cycle start._x000a_- Complete self-assessment highlighting achievements and improvements._x000a_- Manager evaluates performance against role expectations and goals._x000a_- 360-degree feedback gathered when applicable._x000a_- One-on-one review meeting to discuss feedback and development._x000a_- Outcome includes rating; may affect pay or bonuses._x000a_- Ongoing check-ins and continuous feedback throughout year._x000a_- Evaluation criteria: goals, job knowledge, quality, productivity._x000a_- Discuss career development plan and internal promotion interest._x000a_- Use training, mentorship, and learning resources for growth._x000a_- If underperforming, a Performance Improvement Plan may apply._x000a_- Feedback culture encourages peer and manager feedback._x000a__x000a_Sources:_x000a_- ^1 [Document 8_ Performance Reviews and Career Development.txt](https://raw.githubusercontent.com/tobiaszwingmann/ai-evaluations-in-n8n-building-high-quality-outputs-you-can-trust-8508000/main/documents/Document%208_%20Performance%20Reviews%20and%20Career%20Development.txt)"/>
    <n v="6"/>
    <s v="2026-07-15T22:52:45.649Z"/>
    <s v="2026-07-17T05:52:59.843Z"/>
    <x v="0"/>
    <x v="1"/>
    <x v="0"/>
  </r>
  <r>
    <s v="Summarize who is eligible to work remotely and what is expected of them."/>
    <s v="Document 3: General Employment Policies"/>
    <n v="1"/>
    <s v="Many roles are eligible for remote or hybrid work; specifics (such as in-office days) are arranged with your manager. You must have a proper workspace and reliable internet, and stay fully engaged during work hours - available online, attending meetings, and meeting the same productivity expectations as in-office staff."/>
    <n v="0"/>
    <n v="0.39583333333333337"/>
    <n v="5"/>
    <n v="0"/>
    <s v="Mostly accurate but not fully faithful: the summary states company equipment is for &quot;business purposes only,&quot; while Document 9 allows limited personal use in moderation. This absolute phrasing and omission of that nuance makes the response unsupported by the sources."/>
    <s v="Available files:_x000a_- Document 1_ Welcome and Company Overview.txt_x000a_- Document 2_ Onboarding Process and New Hire Orientation.txt_x000a_- Document 3_ General Employment Policies.txt_x000a_- Document 4_ Code of Conduct and Ethics.txt_x000a_- Document 5_ Compensation, Payroll, and Promotions.txt_x000a_- Document 6_ Employee Benefits and Perks.txt_x000a_- Document 7_ Leave and Time Off Policies.txt_x000a_- Document 8_ Performance Reviews and Career Development.txt_x000a_- Document 9_ IT Usage and Security Policies.txt_x000a_- Document 10_ Workplace Safety and Emergency Procedures.txt_x000a__x000a_Most relevant files:_x000a_- Document 3_ General Employment Policies.txt_x000a_- Document 9_ IT Usage and Security Policies.txt_x000a__x000a_Summary — who is eligible:_x000a_- Roles that allow remote or hybrid work are eligible._x000a_- Eligibility depends on position and team needs._x000a_- Manager and employee discuss specific remote eligibility. ^1_x000a__x000a_Summary — expectations for remote workers:_x000a_- Maintain a proper home workspace and reliable internet._x000a_- Be fully engaged and available during work hours._x000a_- Attend meetings and match in-office productivity levels._x000a_- Follow department hybrid work guidelines when applicable._x000a_- Use company equipment for business purposes only._x000a_- Secure devices with passwords, MFA, and encryption._x000a_- Enroll personal mobile devices for work in MDM._x000a_- Report lost, stolen, or damaged equipment to IT._x000a_- Personal laptops require specific authorization to use. ^1 ^2_x000a__x000a_Sources:_x000a_- ^1 [Document 3_ General Employment Policies.txt](https://raw.githubusercontent.com/tobiaszwingmann/ai-evaluations-in-n8n-building-high-quality-outputs-you-can-trust-8508000/main/documents/Document%203_%20General%20Employment%20Policies.txt)_x000a_- ^2 [Document 9_ IT Usage and Security Policies.txt](https://raw.githubusercontent.com/tobiaszwingmann/ai-evaluations-in-n8n-building-high-quality-outputs-you-can-trust-8508000/main/documents/Document%209_%20IT%20Usage%20and%20Security%20Policies.txt)"/>
    <n v="7"/>
    <s v="2026-07-15T22:52:45.649Z"/>
    <s v="2026-07-17T05:53:38.946Z"/>
    <x v="0"/>
    <x v="1"/>
    <x v="0"/>
  </r>
  <r>
    <s v="What should a new hire expect on their first day?"/>
    <s v="Document 2: Onboarding Process and New Hire Orientation"/>
    <n v="1"/>
    <s v="Arrive at the front desk by 9:00 AM for HR orientation. Complete remaining paperwork (tax forms, direct deposit), receive an ID badge and an office tour, get issued equipment and log into systems, get a high-level review of key policies and benefits enrollment, and meet an assigned buddy/mentor who often hosts a welcome lunch."/>
    <n v="0"/>
    <n v="0.49090909090909096"/>
    <n v="5"/>
    <n v="1"/>
    <s v="Each claim (file list, relevancy, and every first-day bullet) is directly supported by Document 2 (Onboarding) and/or Document 1 (Welcome). No unsupported or contradictory content was added."/>
    <s v="Available files:_x000a_- Document 1 — Welcome and Company Overview_x000a_- Document 2 — Onboarding Process and Orientation_x000a_- Document 3 — General Employment Policies_x000a_- Document 4 — Code of Conduct and Ethics_x000a_- Document 5 — Compensation, Payroll, and Promotions_x000a_- Document 6 — Employee Benefits and Perks_x000a_- Document 7 — Leave and Time Off Policies_x000a_- Document 8 — Performance Reviews and Career Development_x000a_- Document 9 — IT Usage and Security Policies_x000a_- Document 10 — Workplace Safety and Emergency Procedures_x000a__x000a_Most relevant:_x000a_- Document 2 — Onboarding Process and Orientation_x000a_- Document 1 — Welcome and Company Overview_x000a__x000a_What to expect on your first day:_x000a_- Arrive at the front desk by 9:00 AM.  _x000a_- Greeted by HR for orientation.  _x000a_- Complete remaining new hire paperwork.  _x000a_- Receive company ID badge and office tour.  _x000a_- Get issued equipment (laptop, access card).  _x000a_- Help logging into email and systems.  _x000a_- High-level review of company policies.  _x000a_- Brief benefits enrollment overview.  _x000a_- Paired with a buddy or mentor.  _x000a_- Opportunity to ask initial questions._x000a__x000a_Sources:_x000a_- ^1 [Document 2_ Onboarding Process and New Hire Orientation.txt](https://raw.githubusercontent.com/tobiaszwingmann/ai-evaluations-in-n8n-building-high-quality-outputs-you-can-trust-8508000/main/documents/Document%202_%20Onboarding%20Process%20and%20New%20Hire%20Orientation.txt)  _x000a_- ^2 [Document 1_ Welcome and Company Overview.txt](https://raw.githubusercontent.com/tobiaszwingmann/ai-evaluations-in-n8n-building-high-quality-outputs-you-can-trust-8508000/main/documents/Document%201_%20Welcome%20and%20Company%20Overview.txt)"/>
    <n v="8"/>
    <s v="2026-07-15T22:52:45.649Z"/>
    <s v="2026-07-17T05:54:14.044Z"/>
    <x v="0"/>
    <x v="1"/>
    <x v="0"/>
  </r>
  <r>
    <s v="For a birth mother, how does paid parental leave coordinate with short-term disability?"/>
    <s v="Document 6: Employee Benefits and Perks | Document 7: Leave and Time Off Policies"/>
    <n v="2"/>
    <s v="Primary caregivers get up to 12 weeks of parental leave, 6 of them fully paid. For birth mothers, short-term disability (STD) typically covers 6-8 weeks of medical recovery and runs concurrently with that leave. STD is company-paid and replaces a portion of salary (generally up to 13 weeks). Coordinate the overlap and paperwork with HR."/>
    <n v="1"/>
    <n v="0.81720430107526876"/>
    <n v="4"/>
    <n v="1"/>
    <s v="All statements are supported by the cited documents: Document 7 states primary caregivers get up to 12 weeks, 6 weeks paid and remaining 6 unpaid or via vacation, and notes STD covers ~6–8 weeks and runs concurrently for birth mothers; Document 6 describes STD paying part of salary for generally up to 13 weeks. No unsupported claims found."/>
    <s v="Short-term disability (STD) typically covers 6–8 weeks of medical recovery and runs concurrently with parental leave for birth mothers.^1,2  _x000a_Primary caregivers are eligible for up to 12 weeks of parental leave.^1  _x000a_The company provides 6 weeks of parental leave fully paid; the remaining 6 weeks may be unpaid or covered by accrued vacation.^1  _x000a_STD pays a portion of salary and can cover short-term disability for up to about 13 weeks.^2_x000a__x000a_Sources:  _x000a_- ^1 [Document 7_ Leave and Time Off Policies.txt](https://raw.githubusercontent.com/tobiaszwingmann/ai-evaluations-in-n8n-building-high-quality-outputs-you-can-trust-8508000/main/documents/Document%207_%20Leave%20and%20Time%20Off%20Policies.txt)  _x000a_- ^2 [Document 6_ Employee Benefits and Perks.txt](https://raw.githubusercontent.com/tobiaszwingmann/ai-evaluations-in-n8n-building-high-quality-outputs-you-can-trust-8508000/main/documents/Document%206_%20Employee%20Benefits%20and%20Perks.txt)"/>
    <n v="9"/>
    <s v="2026-07-15T22:52:45.649Z"/>
    <s v="2026-07-17T05:54:55.179Z"/>
    <x v="0"/>
    <x v="1"/>
    <x v="0"/>
  </r>
  <r>
    <s v="If I am out sick longer than my paid sick days, what covers my income?"/>
    <s v="Document 6: Employee Benefits and Perks | Document 7: Leave and Time Off Policies"/>
    <n v="2"/>
    <s v="Full-time employees receive 10 paid sick days per year. If illness keeps you out longer, company-paid Short-Term Disability (STD) replaces a portion of your salary for a short period (generally up to 13 weeks), with Long-Term Disability available beyond that. So sick leave covers the first days and disability insurance covers an extended absence."/>
    <n v="1"/>
    <n v="0.81720430107526876"/>
    <n v="3"/>
    <n v="0"/>
    <s v="Four of five points are supported (STD pays a portion of salary; LTD can continue income; unpaid leave can be requested; accrued vacation may be used during leave). However the statement “FMLA … is unpaid” is an overgeneralization: Document 7 confirms FMLA provides up to 12 weeks of job‑protected leave and gives an example of FMLA being unpaid, but the policy also describes paid parental leave that can run with/alongside FMLA (e.g., 6 weeks paid, remaining 6 weeks unpaid or use vacation). Thus characterizing FMLA as simply ‘unpaid’ is not fully supported."/>
    <s v="Available files:_x000a_- Document 1_ Welcome and Company Overview.txt_x000a_- Document 2_ Onboarding Process and New Hire Orientation.txt_x000a_- Document 3_ General Employment Policies.txt_x000a_- Document 4_ Code of Conduct and Ethics.txt_x000a_- Document 5_ Compensation, Payroll, and Promotions.txt_x000a_- Document 6_ Employee Benefits and Perks.txt_x000a_- Document 7_ Leave and Time Off Policies.txt_x000a_- Document 8_ Performance Reviews and Career Development.txt_x000a_- Document 9_ IT Usage and Security Policies.txt_x000a_- Document 10_ Workplace Safety and Emergency Procedures.txt_x000a__x000a_Relevant files:_x000a_- Document 6_ Employee Benefits and Perks.txt_x000a_- Document 7_ Leave and Time Off Policies.txt_x000a__x000a_Answer:_x000a_- Short‑term disability (STD) can pay part of your salary. ^1  _x000a_- Long‑term disability (LTD) may provide income after STD ends. ^1  _x000a_- FMLA gives up to 12 weeks job protection, but is unpaid. ^2  _x000a_- You can request unpaid leave of absence if needed. ^2  _x000a_- You may use accrued vacation to receive pay during leave. ^2_x000a__x000a_Sources:_x000a_- ^1 [Document 6_ Employee Benefits and Perks.txt](https://raw.githubusercontent.com/tobiaszwingmann/ai-evaluations-in-n8n-building-high-quality-outputs-you-can-trust-8508000/main/documents/Document%206_%20Employee%20Benefits%20and%20Perks.txt)  _x000a_- ^2 [Document 7_ Leave and Time Off Policies.txt](https://raw.githubusercontent.com/tobiaszwingmann/ai-evaluations-in-n8n-building-high-quality-outputs-you-can-trust-8508000/main/documents/Document%207_%20Leave%20and%20Time%20Off%20Policies.txt)"/>
    <n v="10"/>
    <s v="2026-07-15T22:52:45.649Z"/>
    <s v="2026-07-17T05:55:51.475Z"/>
    <x v="0"/>
    <x v="1"/>
    <x v="0"/>
  </r>
  <r>
    <s v="How do the remote-work policy and IT equipment support work together for a home office?"/>
    <s v="Document 3: General Employment Policies | Document 9: IT Usage and Security Policies"/>
    <n v="2"/>
    <s v="Many roles are eligible for remote or hybrid work (arranged with your manager), and you must have a proper workspace and reliable internet. The company supports your home office with a stipend or company-provided equipment, and additional peripherals (e.g., a printer) can be arranged through IT/HR under its reimbursement policy. Personal laptops generally are not allowed for work - the company provides required computer equipment."/>
    <n v="0"/>
    <n v="0.50318471337579618"/>
    <n v="4"/>
    <n v="1"/>
    <s v="Each factual claim in the AI response is directly supported by the cited documents (Doc 3, Doc 9, Doc 10) — remote-work requirements and stipend (Doc 3), IT equipment and security rules including encryption/passwords/MFA/MDM and personal laptop restrictions plus reimbursement for peripherals (Doc 9), and ergonomics assessments availability (Doc 10). No unsupported or contradictory information found."/>
    <s v="Available files:_x000a_- Document 1_ Welcome and Company Overview.txt_x000a_- Document 2_ Onboarding Process and New Hire Orientation.txt_x000a_- Document 3_ General Employment Policies.txt_x000a_- Document 4_ Code of Conduct and Ethics.txt_x000a_- Document 5_ Compensation, Payroll, and Promotions.txt_x000a_- Document 6_ Employee Benefits and Perks.txt_x000a_- Document 7_ Leave and Time Off Policies.txt_x000a_- Document 8_ Performance Reviews and Career Development.txt_x000a_- Document 9_ IT Usage and Security Policies.txt_x000a_- Document 10_ Workplace Safety and Emergency Procedures.txt_x000a__x000a_Most relevant files:_x000a_- Document 3_ General Employment Policies.txt_x000a_- Document 9_ IT Usage and Security Policies.txt_x000a_- Document 10_ Workplace Safety and Emergency Procedures.txt_x000a__x000a_How they work together for a home office:_x000a_- Remote-work policy requires a proper workspace and reliable internet.^1_x000a_- Remote policy may provide a stipend or company equipment.^1_x000a_- IT policy provides laptops, monitors, phones, and peripherals.^2_x000a_- IT enforces security: encryption, strong passwords, and MFA.^2_x000a_- Personal devices must meet security rules or enroll in MDM.^2_x000a_- Personal laptops are disallowed unless expressly authorized.^2_x000a_- Special equipment needs (printers) handled by IT/HR reimbursement.^2_x000a_- Ergonomics support and assessments available upon request.^3_x000a__x000a_Sources:_x000a_- ^1 [Document 3_ General Employment Policies.txt](https://raw.githubusercontent.com/tobiaszwingmann/ai-evaluations-in-n8n-building-high-quality-outputs-you-can-trust-8508000/main/documents/Document%203_%20General%20Employment%20Policies.txt)_x000a_- ^2 [Document 9_ IT Usage and Security Policies.txt](https://raw.githubusercontent.com/tobiaszwingmann/ai-evaluations-in-n8n-building-high-quality-outputs-you-can-trust-8508000/main/documents/Document%209_%20IT%20Usage%20and%20Security%20Policies.txt)_x000a_- ^3 [Document 10_ Workplace Safety and Emergency Procedures.txt](https://raw.githubusercontent.com/tobiaszwingmann/ai-evaluations-in-n8n-building-high-quality-outputs-you-can-trust-8508000/main/documents/Document%2010_%20Workplace%20Safety%20and%20Emergency%20Procedures.txt)"/>
    <n v="11"/>
    <s v="2026-07-15T22:52:45.649Z"/>
    <s v="2026-07-17T05:56:31.692Z"/>
    <x v="0"/>
    <x v="1"/>
    <x v="0"/>
  </r>
  <r>
    <s v="How are annual performance reviews connected to pay raises and bonuses?"/>
    <s v="Document 5: Compensation, Payroll, and Promotions | Document 8: Performance Reviews and Career Development"/>
    <n v="2"/>
    <s v="Performance is reviewed annually (year-end, with a mid-year check-in) and given a rating. Those ratings drive compensation: the company sets an annual raise budget distributed by performance rating and market benchmarks (merit increases), and the performance-based bonus pays out when both company targets and individual goals are met. Strong reviews also support promotions, which come with a higher compensation package."/>
    <n v="1"/>
    <n v="0.85593220338983045"/>
    <n v="3"/>
    <n v="1"/>
    <s v="All five claims are directly supported by Document 8 and Document 5: annual reviews include goals and ratings; ratings feed merit increases/bonuses; bonuses are discretionary and tied to company and individual performance; the company sets an annual raise budget allocated by ratings; promotions considered during reviews include adjusted compensation. No unsupported information added."/>
    <s v="Available files:_x000a_- Document 1_ Welcome and Company Overview_x000a_- Document 2_ Onboarding Process and New Hire Orientation_x000a_- Document 3_ General Employment Policies_x000a_- Document 4_ Code of Conduct and Ethics_x000a_- Document 5_ Compensation, Payroll, and Promotions_x000a_- Document 6_ Employee Benefits and Perks_x000a_- Document 7_ Leave and Time Off Policies_x000a_- Document 8_ Performance Reviews and Career Development_x000a_- Document 9_ IT Usage and Security Policies_x000a_- Document 10_ Workplace Safety and Emergency Procedures_x000a__x000a_Relevant files:_x000a_- Document 8_ Performance Reviews and Career Development_x000a_- Document 5_ Compensation, Payroll, and Promotions_x000a__x000a_Answer:_x000a_- Annual reviews assess goals and assign performance ratings._x000a_- Ratings can influence merit pay increases and bonuses._x000a_- Bonuses are discretionary; tied to company and individual performance._x000a_- Company sets a yearly raise budget, allocated by ratings._x000a_- Promotions considered during reviews include adjusted compensation._x000a__x000a_Sources:_x000a_- ^1 [Document 8_ Performance Reviews and Career Development.txt](https://raw.githubusercontent.com/tobiaszwingmann/ai-evaluations-in-n8n-building-high-quality-outputs-you-can-trust-8508000/main/documents/Document%208_%20Performance%20Reviews%20and%20Career%20Development.txt)_x000a_- ^2 [Document 5_ Compensation, Payroll, and Promotions.txt](https://raw.githubusercontent.com/tobiaszwingmann/ai-evaluations-in-n8n-building-high-quality-outputs-you-can-trust-8508000/main/documents/Document%205_%20Compensation%2C%20Payroll%2C%20and%20Promotions.txt)"/>
    <n v="12"/>
    <s v="2026-07-15T22:52:45.649Z"/>
    <s v="2026-07-17T05:57:14.924Z"/>
    <x v="0"/>
    <x v="1"/>
    <x v="0"/>
  </r>
  <r>
    <s v="Does ABC Inc offer pet insurance as an employee benefit?"/>
    <s v="NA"/>
    <n v="0"/>
    <s v="This is not addressed anywhere in the handbook."/>
    <n v="1"/>
    <n v="0"/>
    <n v="2"/>
    <n v="0"/>
    <s v="Unsupported — none of the provided documents justify the assistant refusing to answer and directing the user to contact HR; the response is not supported by the source material."/>
    <s v="I’m sorry, I can’t answer that. Please contact HR"/>
    <n v="13"/>
    <s v="2026-07-15T22:52:45.649Z"/>
    <s v="2026-07-17T05:57:43.175Z"/>
    <x v="0"/>
    <x v="1"/>
    <x v="0"/>
  </r>
  <r>
    <s v="What is the company's sabbatical leave policy?"/>
    <s v="NA"/>
    <n v="0"/>
    <s v="This is not addressed anywhere in the handbook; the leave policy covers vacation, sick, personal, parental, bereavement, jury, military, and unpaid leave only."/>
    <n v="1"/>
    <n v="0"/>
    <n v="1"/>
    <n v="0"/>
    <s v="No source was provided to support the refusal or the instruction to contact HR; the response contains unsupported claims and cannot be verified."/>
    <s v="I’m sorry, I can’t answer that. Please contact HR."/>
    <n v="14"/>
    <s v="2026-07-15T22:52:45.649Z"/>
    <s v="2026-07-17T05:57:58.288Z"/>
    <x v="0"/>
    <x v="1"/>
    <x v="0"/>
  </r>
  <r>
    <s v="What is the dress code?"/>
    <s v="Document 3: General Employment Policies"/>
    <n v="1"/>
    <s v="Business casual - e.g., collared shirts, blouses, slacks or neat jeans, and closed-toe shoes. Fridays are casual (jeans and sneakers welcome). Remote staff may dress more casually but should be presentable for video meetings."/>
    <n v="1"/>
    <n v="0.8085106382978724"/>
    <n v="4"/>
    <n v="1"/>
    <s v="All factual claims in the AI response (business-casual dress code, examples, Friday casuals, remote video-presentable guidance, and possible team-specific requirements) are directly supported by the cited Document 3 content."/>
    <s v="Available files:_x000a_- Document 1: Welcome and Company Overview_x000a_- Document 2: Onboarding Process and Orientation_x000a_- Document 3: General Employment Policies_x000a_- Document 4: Code of Conduct and Ethics_x000a_- Document 5: Compensation, Payroll, Promotions_x000a_- Document 6: Employee Benefits and Perks_x000a_- Document 7: Leave and Time Off Policies_x000a_- Document 8: Performance Reviews and Development_x000a_- Document 9: IT Usage and Security Policies_x000a_- Document 10: Workplace Safety and Emergency Procedures_x000a__x000a_Relevant file:_x000a_- Document 3: General Employment Policies_x000a__x000a_Dress code: business-casual. Examples: collared shirts, blouses, slacks, neat jeans, closed-toe shoes. Fridays are casual dress days; jeans and sneakers allowed. Remote work: dress more casual but be presentable on video. Some teams may have specific attire requirements from managers.^1_x000a__x000a_Sources:_x000a_- ^1 [Document 3_ General Employment Policies.txt](https://raw.githubusercontent.com/tobiaszwingmann/ai-evaluations-in-n8n-building-high-quality-outputs-you-can-trust-8508000/main/documents/Document%203_%20General%20Employment%20Policies.txt)"/>
    <n v="15"/>
    <s v="2026-07-15T22:52:45.649Z"/>
    <s v="2026-07-17T05:58:30.956Z"/>
    <x v="0"/>
    <x v="1"/>
    <x v="0"/>
  </r>
  <r>
    <s v="What login security is required for remote access and important applications?"/>
    <s v="Document 9: IT Usage and Security Policies"/>
    <n v="1"/>
    <s v="Multi-Factor Authentication (MFA)"/>
    <n v="0"/>
    <n v="0.3529411764705882"/>
    <n v="2"/>
    <n v="1"/>
    <s v="All statements are directly supported by Document 9: it mandates MFA for remote access/important apps (authenticator app code or text), specifies strong passwords with letters/numbers/symbols, enforces 90-day password changes for key accounts, and forbids reusing company passwords."/>
    <s v="Remote access and important applications require Multi-Factor Authentication (MFA).  _x000a_You must use a second step, such as an authenticator app code or text message.  _x000a_Also, use strong passwords with letters, numbers, and symbols.  _x000a_Passwords should be changed every 90 days for key accounts.  _x000a_Do not reuse your company password.[^1]_x000a__x000a_Sources:  _x000a_- [Document 9_ IT Usage and Security Policies.txt](https://raw.githubusercontent.com/tobiaszwingmann/ai-evaluations-in-n8n-building-high-quality-outputs-you-can-trust-8508000/main/documents/Document%209_%20IT%20Usage%20and%20Security%20Policies.txt)  _x000a__x000a_[^1]: Document 9_ IT Usage and Security Policies.txt, URL above."/>
    <n v="1"/>
    <s v="2026-07-15T22:52:45.649Z"/>
    <s v="2026-07-17T14:01:25.461Z"/>
    <x v="1"/>
    <x v="2"/>
    <x v="1"/>
  </r>
  <r>
    <s v="What technique should you use to operate a fire extinguisher?"/>
    <s v="Document 10: Workplace Safety and Emergency Procedures"/>
    <n v="1"/>
    <s v="The PASS method: Pull the pin, Aim at the base, Squeeze the trigger, Sweep side to side"/>
    <n v="1"/>
    <n v="0.85483870967741937"/>
    <n v="5"/>
    <n v="1"/>
    <s v="Document 10’s Fire Safety section explicitly lists the PASS steps (Pull pin; Aim at base; Squeeze; Sweep) and states fire extinguishers should be used only if trained and for very small/incipient fires."/>
    <s v="Use the PASS method: Pull the pin, Aim at the base, Squeeze the trigger, and Sweep side to side. Use it only for very small fires and only if trained. ^1_x000a__x000a_Sources:_x000a_- ^1 [Document 10_ Workplace Safety and Emergency Procedures.txt](https://raw.githubusercontent.com/tobiaszwingmann/ai-evaluations-in-n8n-building-high-quality-outputs-you-can-trust-8508000/main/documents/Document%2010_%20Workplace%20Safety%20and%20Emergency%20Procedures.txt)"/>
    <n v="2"/>
    <s v="2026-07-15T22:52:45.649Z"/>
    <s v="2026-07-17T14:01:53.689Z"/>
    <x v="1"/>
    <x v="2"/>
    <x v="1"/>
  </r>
  <r>
    <s v="Where is the primary emergency assembly point during an evacuation?"/>
    <s v="Document 10: Workplace Safety and Emergency Procedures"/>
    <n v="1"/>
    <s v="The parking lot across the street"/>
    <n v="1"/>
    <n v="0.85483870967741937"/>
    <n v="4"/>
    <n v="1"/>
    <s v="Document 10’s evacuation section explicitly states: “Our primary assembly point is the parking lot across the street (or a designated spot noted on the evacuation map),” so the AI response is fully supported by the source."/>
    <s v="The primary assembly point is the parking lot across the street. If needed, use the designated spot on the evacuation map. ^1_x000a__x000a_Sources:_x000a_- ^1 [Document 10_ Workplace Safety and Emergency Procedures.txt](https://api.github.com/repos/tobiaszwingmann/ai-evaluations-in-n8n-building-high-quality-outputs-you-can-trust-8508000/contents/documents/Document%2010_%20Workplace%20Safety%20and%20Emergency%20Procedures.txt?ref=main)"/>
    <n v="3"/>
    <s v="2026-07-15T22:52:45.649Z"/>
    <s v="2026-07-17T14:02:18.664Z"/>
    <x v="1"/>
    <x v="2"/>
    <x v="1"/>
  </r>
  <r>
    <s v="How often are employees paid?"/>
    <s v="Document 5: Compensation, Payroll, and Promotions"/>
    <n v="1"/>
    <s v="Every two weeks (bi-weekly), typically every other Friday"/>
    <n v="1"/>
    <n v="0.84210526315789469"/>
    <n v="5"/>
    <n v="1"/>
    <s v="Document 5 (Compensation, Payroll, and Promotions) explicitly states the company operates on a bi-weekly payroll: paychecks every two weeks, typically every other Friday."/>
    <s v="Employees are paid bi-weekly.  _x000a_That means every two weeks, typically every other Friday.¹_x000a__x000a_Sources:  _x000a_- ^1 [Document 5_ Compensation, Payroll, and Promotions.txt](https://raw.githubusercontent.com/tobiaszwingmann/ai-evaluations-in-n8n-building-high-quality-outputs-you-can-trust-8508000/main/documents/Document%205_%20Compensation%2C%20Payroll%2C%20and%20Promotions.txt)"/>
    <n v="4"/>
    <s v="2026-07-15T22:52:45.649Z"/>
    <s v="2026-07-17T14:02:50.004Z"/>
    <x v="1"/>
    <x v="2"/>
    <x v="1"/>
  </r>
  <r>
    <s v="Explain the process for requesting parental leave."/>
    <s v="Document 7: Leave and Time Off Policies"/>
    <n v="1"/>
    <s v="Inform HR as early as possible (at least 30 days' notice if feasible). Primary caregivers are eligible for up to 12 weeks, with 6 weeks fully paid; the remaining 6 weeks are unpaid or can be covered using accrued vacation. Secondary caregivers get 2 weeks of paid leave. Work with HR on any FMLA paperwork."/>
    <n v="1"/>
    <n v="0.8085106382978724"/>
    <n v="2"/>
    <n v="1"/>
    <s v="All six bullet points are directly supported by Document 7: it instructs employees to inform HR as early as possible (at least 30 days when feasible), to work with HR to complete required forms (especially for FMLA), states parental leave may be continuous or taken flexibly within the first year, and notes flexible arrangements require manager approval and HR/FMLA coordination."/>
    <s v="To request parental leave:_x000a__x000a_- Inform HR as early as possible._x000a_- Give at least 30 days’ notice, if feasible._x000a_- Submit any required forms with HR._x000a_- The leave can be continuous or flexible._x000a_- Flexible leave needs manager approval._x000a_- HR will help if FMLA applies. [^1]_x000a__x000a_[^1]: Document 7_ Leave and Time Off Policies.txt — https://raw.githubusercontent.com/tobiaszwingmann/ai-evaluations-in-n8n-building-high-quality-outputs-you-can-trust-8508000/main/documents/Document%207_%20Leave%20and%20Time%20Off%20Policies.txt_x000a__x000a_Sources:_x000a_- ^1 [Document 7_ Leave and Time Off Policies.txt](https://raw.githubusercontent.com/tobiaszwingmann/ai-evaluations-in-n8n-building-high-quality-outputs-you-can-trust-8508000/main/documents/Document%207_%20Leave%20and%20Time%20Off%20Policies.txt)"/>
    <n v="5"/>
    <s v="2026-07-15T22:52:45.649Z"/>
    <s v="2026-07-17T14:03:30.889Z"/>
    <x v="1"/>
    <x v="2"/>
    <x v="1"/>
  </r>
  <r>
    <s v="Walk me through the steps of the annual performance review."/>
    <s v="Document 8: Performance Reviews and Career Development"/>
    <n v="1"/>
    <s v="Goals are set at the start of the year. The annual review (year-end, with a mid-year check-in) includes a self-assessment, a manager evaluation against goals, optional 360-degree feedback, a one-on-one review meeting, and a rating/outcome that can influence merit increases or bonuses."/>
    <n v="1"/>
    <n v="0.85483870967741937"/>
    <n v="4"/>
    <n v="1"/>
    <s v="Each step in the AI response (goals set at cycle start, self-assessment, manager evaluation, optional 360-degree/peer feedback, one-on-one review meeting, and ratings/outcomes that can affect pay/bonuses) is explicitly described in Document 8: Performance Reviews and Career Development, so the summary is faithful to the source."/>
    <s v="Here’s the annual performance review process: You and your manager set goals at the start of the cycle. You complete a self-assessment. Your manager evaluates your performance. Some teams also use 360-degree feedback. Then you meet one-on-one to discuss feedback, achievements, and career goals. A rating and outcome may follow, and can affect pay or bonuses.^1_x000a__x000a_- Goals set at cycle start._x000a_- Complete your self-assessment._x000a_- Manager reviews your performance._x000a_- Optional peer feedback may be collected._x000a_- Hold a review meeting._x000a_- Review rating and outcome._x000a__x000a_Sources:  _x000a_- ^1 [Document 8_ Performance Reviews and Career Development.txt](https://api.github.com/repos/tobiaszwingmann/ai-evaluations-in-n8n-building-high-quality-outputs-you-can-trust-8508000/contents/documents/Document%208_%20Performance%20Reviews%20and%20Career%20Development.txt?ref=main)"/>
    <n v="6"/>
    <s v="2026-07-15T22:52:45.649Z"/>
    <s v="2026-07-17T14:04:06.321Z"/>
    <x v="1"/>
    <x v="2"/>
    <x v="1"/>
  </r>
  <r>
    <s v="Summarize who is eligible to work remotely and what is expected of them."/>
    <s v="Document 3: General Employment Policies"/>
    <n v="1"/>
    <s v="Many roles are eligible for remote or hybrid work; specifics (such as in-office days) are arranged with your manager. You must have a proper workspace and reliable internet, and stay fully engaged during work hours - available online, attending meetings, and meeting the same productivity expectations as in-office staff."/>
    <n v="1"/>
    <n v="0.8085106382978724"/>
    <n v="5"/>
    <n v="1"/>
    <s v="All statements are directly supported by Document 3: it states many roles allow remote work part-time or full-time depending on team needs; eligibility and schedules are discussed with managers; and remote employees must have a proper workspace and reliable internet, be available/attend meetings, and meet productivity expectations similar to in-office staff."/>
    <s v="Remote work is available in many roles, either part-time or full-time, depending on team needs. If a position is eligible, the manager will discuss the schedule and any hybrid details. Remote employees are expected to have a proper workspace and reliable internet, stay fully engaged during work hours, be available online, attend meetings, and meet the same productivity expectations as in-office staff.^1_x000a__x000a_Sources:  _x000a_- ^1 [Document 3_ General Employment Policies.txt](https://raw.githubusercontent.com/tobiaszwingmann/ai-evaluations-in-n8n-building-high-quality-outputs-you-can-trust-8508000/main/documents/Document%203_%20General%20Employment%20Policies.txt)"/>
    <n v="7"/>
    <s v="2026-07-15T22:52:45.649Z"/>
    <s v="2026-07-17T14:05:06.100Z"/>
    <x v="1"/>
    <x v="2"/>
    <x v="1"/>
  </r>
  <r>
    <s v="What should a new hire expect on their first day?"/>
    <s v="Document 2: Onboarding Process and New Hire Orientation"/>
    <n v="1"/>
    <s v="Arrive at the front desk by 9:00 AM for HR orientation. Complete remaining paperwork (tax forms, direct deposit), receive an ID badge and an office tour, get issued equipment and log into systems, get a high-level review of key policies and benefits enrollment, and meet an assigned buddy/mentor who often hosts a welcome lunch."/>
    <n v="0"/>
    <n v="0.49090909090909096"/>
    <n v="5"/>
    <n v="1"/>
    <s v="All statements (9:00 AM arrival; HR orientation; completion of paperwork; ID badge; equipment issuance and system access; office tour; high-level policy review; benefits enrollment overview; pairing with a buddy who may take them to lunch) are explicitly supported by Document 2 (and Document 1’s onboarding reference). No unsupported additions."/>
    <s v="On the first day, a new hire should arrive at the front desk by 9:00 AM. HR will give a brief orientation, finish any remaining paperwork, provide an ID badge, issue equipment, and help with system access. The day also includes a tour, a high-level policy review, benefits enrollment information, and answers to initial questions. New hires are also paired with a buddy or mentor, who may take them to lunch. ^1 ^2_x000a__x000a_Sources:  _x000a_- ^1 [Document 1_ Welcome and Company Overview.txt](https://github.com/tobiaszwingmann/ai-evaluations-in-n8n-building-high-quality-outputs-you-can-trust-8508000/blob/main/documents/Document%201_%20Welcome%20and%20Company%20Overview.txt)  _x000a_- ^2 [Document 2_ Onboarding Process and New Hire Orientation.txt](https://github.com/tobiaszwingmann/ai-evaluations-in-n8n-building-high-quality-outputs-you-can-trust-8508000/blob/main/documents/Document%202_%20Onboarding%20Process%20and%20New%20Hire%20Orientation.txt)"/>
    <n v="8"/>
    <s v="2026-07-15T22:52:45.649Z"/>
    <s v="2026-07-17T14:06:30.481Z"/>
    <x v="1"/>
    <x v="2"/>
    <x v="1"/>
  </r>
  <r>
    <s v="For a birth mother, how does paid parental leave coordinate with short-term disability?"/>
    <s v="Document 6: Employee Benefits and Perks | Document 7: Leave and Time Off Policies"/>
    <n v="2"/>
    <s v="Primary caregivers get up to 12 weeks of parental leave, 6 of them fully paid. For birth mothers, short-term disability (STD) typically covers 6-8 weeks of medical recovery and runs concurrently with that leave. STD is company-paid and replaces a portion of salary (generally up to 13 weeks). Coordinate the overlap and paperwork with HR."/>
    <n v="1"/>
    <n v="0.2990654205607477"/>
    <n v="4"/>
    <n v="1"/>
    <s v="All statements (STD concurrent with parental leave for birth mothers; STD typically 6–8 weeks; primary caregivers eligible for up to 12 weeks with 6 weeks paid and remaining 6 unpaid or via accrued vacation) are explicitly supported by Document 7 and consistent with Document 6."/>
    <s v="For a birth mother, short-term disability runs concurrently with parental leave. STD typically covers 6–8 weeks of medical recovery time. Parental leave is separate and can provide up to 12 weeks total for primary caregivers, with 6 weeks fully paid by the company and the remaining 6 weeks unpaid or covered by accrued vacation. [^1][^2]_x000a__x000a_Sources:  _x000a_- [^1] [Document 7_ Leave and Time Off Policies.txt](https://raw.githubusercontent.com/tobiaszwingmann/ai-evaluations-in-n8n-building-high-quality-outputs-you-can-trust-8508000/main/documents/Document%207_%20Leave%20and%20Time%20Off%20Policies.txt)  _x000a_- [^2] [Document 6_ Employee Benefits and Perks.txt](https://raw.githubusercontent.com/tobiaszwingmann/ai-evaluations-in-n8n-building-high-quality-outputs-you-can-trust-8508000/main/documents/Document%206_%20Employee%20Benefits%20and%20Perks.txt)"/>
    <n v="9"/>
    <s v="2026-07-15T22:52:45.649Z"/>
    <s v="2026-07-17T14:07:24.204Z"/>
    <x v="1"/>
    <x v="2"/>
    <x v="1"/>
  </r>
  <r>
    <s v="If I am out sick longer than my paid sick days, what covers my income?"/>
    <s v="Document 6: Employee Benefits and Perks | Document 7: Leave and Time Off Policies"/>
    <n v="2"/>
    <s v="Full-time employees receive 10 paid sick days per year. If illness keeps you out longer, company-paid Short-Term Disability (STD) replaces a portion of your salary for a short period (generally up to 13 weeks), with Long-Term Disability available beyond that. So sick leave covers the first days and disability insurance covers an extended absence."/>
    <n v="1"/>
    <n v="0.81720430107526876"/>
    <n v="3"/>
    <n v="1"/>
    <s v="All claims are supported by the provided documents: Document 6 states STD pays a portion of salary generally up to 13 weeks and LTD continues beyond that; Document 7 explains paid sick leave and that unpaid leave can be requested after paid leave is exhausted."/>
    <s v="If you’re out sick after paid sick days run out, **short-term disability** may pay a portion of your salary for a period of illness or injury, generally up to **13 weeks**. If the illness lasts longer, **long-term disability** may continue income support beyond the short-term period. If you still need time off after paid leave, you may also request an **unpaid leave of absence**. ^1 ^2_x000a__x000a_Sources:  _x000a_- ^1 [Document 6_ Employee Benefits and Perks.txt](https://raw.githubusercontent.com/tobiaszwingmann/ai-evaluations-in-n8n-building-high-quality-outputs-you-can-trust-8508000/main/documents/Document%206_%20Employee%20Benefits%20and%20Perks.txt)  _x000a_- ^2 [Document 7_ Leave and Time Off Policies.txt](https://raw.githubusercontent.com/tobiaszwingmann/ai-evaluations-in-n8n-building-high-quality-outputs-you-can-trust-8508000/main/documents/Document%207_%20Leave%20and%20Time%20Off%20Policies.txt)"/>
    <n v="10"/>
    <s v="2026-07-15T22:52:45.649Z"/>
    <s v="2026-07-17T14:08:01.433Z"/>
    <x v="1"/>
    <x v="2"/>
    <x v="1"/>
  </r>
  <r>
    <s v="How do the remote-work policy and IT equipment support work together for a home office?"/>
    <s v="Document 3: General Employment Policies | Document 9: IT Usage and Security Policies"/>
    <n v="2"/>
    <s v="Many roles are eligible for remote or hybrid work (arranged with your manager), and you must have a proper workspace and reliable internet. The company supports your home office with a stipend or company-provided equipment, and additional peripherals (e.g., a printer) can be arranged through IT/HR under its reimbursement policy. Personal laptops generally are not allowed for work - the company provides required computer equipment."/>
    <n v="1"/>
    <n v="0.82291666666666663"/>
    <n v="3"/>
    <n v="1"/>
    <s v="All claims in the AI response are directly supported by the cited documents (Document 3 and Document 9): workspace/internet requirement, stipend/equipment provision, company-provided devices, MFA for remote access, arranging peripherals/software through IT, and reporting damaged/lost equipment to IT are all stated in the sources."/>
    <s v="For a home office, remote work must have a proper workspace and reliable internet. The company may provide a stipend or equipment to support the setup. IT supplies needed devices, like a laptop, monitor, or phone. Remote access uses MFA. Extra peripherals or approved software can be arranged through IT. Report lost, damaged, or malfunctioning equipment to IT right away. ^1^2_x000a__x000a_Sources:  _x000a_- ^1 [Document 3_ General Employment Policies.txt](https://raw.githubusercontent.com/tobiaszwingmann/ai-evaluations-in-n8n-building-high-quality-outputs-you-can-trust-8508000/main/documents/Document%203_%20General%20Employment%20Policies.txt)  _x000a_- ^2 [Document 9_ IT Usage and Security Policies.txt](https://raw.githubusercontent.com/tobiaszwingmann/ai-evaluations-in-n8n-building-high-quality-outputs-you-can-trust-8508000/main/documents/Document%209_%20IT%20Usage%20and%20Security%20Policies.txt)"/>
    <n v="11"/>
    <s v="2026-07-15T22:52:45.649Z"/>
    <s v="2026-07-17T14:09:03.565Z"/>
    <x v="1"/>
    <x v="2"/>
    <x v="1"/>
  </r>
  <r>
    <s v="How are annual performance reviews connected to pay raises and bonuses?"/>
    <s v="Document 5: Compensation, Payroll, and Promotions | Document 8: Performance Reviews and Career Development"/>
    <n v="2"/>
    <s v="Performance is reviewed annually (year-end, with a mid-year check-in) and given a rating. Those ratings drive compensation: the company sets an annual raise budget distributed by performance rating and market benchmarks (merit increases), and the performance-based bonus pays out when both company targets and individual goals are met. Strong reviews also support promotions, which come with a higher compensation package."/>
    <n v="1"/>
    <n v="0.85593220338983045"/>
    <n v="4"/>
    <n v="1"/>
    <s v="All claims are directly supported by Document 5 and Document 8: annual reviews influence merit increases/bonuses; raises are considered annually with budgets allocated based on performance ratings, market benchmarks, and other factors; year-end bonuses depend on company financial targets and individual goals; bonus criteria are communicated (typically during review season)."/>
    <s v="Annual performance reviews can influence merit pay raises and bonuses. Reviews are used to assess performance, and the outcome may affect salary increases or bonuses. Raises are considered annually, with budgets distributed based on performance ratings, market benchmarks, and other factors. Bonuses may be offered at year-end if the company meets financial targets and you meet or exceed your goals. Bonus criteria are typically shared during review season.^1 ^2_x000a__x000a_Sources:_x000a_- ^1 [Document 8_ Performance Reviews and Career Development.txt](https://raw.githubusercontent.com/tobiaszwingmann/ai-evaluations-in-n8n-building-high-quality-outputs-you-can-trust-8508000/main/documents/Document%208_%20Performance%20Reviews%20and%20Career%20Development.txt)_x000a_- ^2 [Document 5_ Compensation, Payroll, and Promotions.txt](https://raw.githubusercontent.com/tobiaszwingmann/ai-evaluations-in-n8n-building-high-quality-outputs-you-can-trust-8508000/main/documents/Document%205_%20Compensation,%20Payroll,%20and%20Promotions.txt)"/>
    <n v="12"/>
    <s v="2026-07-15T22:52:45.649Z"/>
    <s v="2026-07-17T14:09:39.329Z"/>
    <x v="1"/>
    <x v="2"/>
    <x v="1"/>
  </r>
  <r>
    <s v="Does ABC Inc offer pet insurance as an employee benefit?"/>
    <s v="NA"/>
    <n v="0"/>
    <s v="I’m sorry, I can’t answer that. Please contact HR"/>
    <n v="1"/>
    <n v="0"/>
    <n v="3"/>
    <n v="0"/>
    <s v="The response asserts the handbook contains no information but provides no evidence. The assistant only listed file names and did not search document contents; given the repository includes multiple handbook documents, the claim of 'not addressed anywhere' is unsupported."/>
    <s v="“This is not addressed anywhere in the handbook. Please contact HR.”"/>
    <n v="13"/>
    <s v="2026-07-15T22:52:45.649Z"/>
    <s v="2026-07-17T14:09:58.543Z"/>
    <x v="1"/>
    <x v="2"/>
    <x v="1"/>
  </r>
  <r>
    <s v="What is the company's sabbatical leave policy?"/>
    <s v="NA"/>
    <n v="0"/>
    <s v="I’m sorry, I can’t answer that. Please contact HR"/>
    <n v="1"/>
    <n v="0"/>
    <n v="4"/>
    <n v="0"/>
    <s v="The response asserts the handbook contains no information on the unspecified topic and directs to contact HR, but provides no evidence and the available handbook documents cover many topics; the claim of 'not addressed anywhere' is unsupported/ unverifiable from the source."/>
    <s v="This is not addressed anywhere in the handbook. Please contact HR."/>
    <n v="14"/>
    <s v="2026-07-15T22:52:45.649Z"/>
    <s v="2026-07-17T14:10:19.064Z"/>
    <x v="1"/>
    <x v="2"/>
    <x v="1"/>
  </r>
  <r>
    <s v="What is the dress code?"/>
    <s v="Document 3: General Employment Policies"/>
    <n v="1"/>
    <s v="Business casual - e.g., collared shirts, blouses, slacks or neat jeans, and closed-toe shoes. Fridays are casual (jeans and sneakers welcome). Remote staff may dress more casually but should be presentable for video meetings."/>
    <n v="1"/>
    <n v="0.8085106382978724"/>
    <n v="4"/>
    <n v="1"/>
    <s v="Every claim in the AI response is directly supported by Document 3 (General Employment Policies) — the dress code, examples of acceptable clothing, closed-toe shoes, casual Fridays, remote-worker guidance, and team-specific requirements all appear in the source."/>
    <s v="The dress code is business-casual.  _x000a_- Collared shirts, blouses, slacks, or neat jeans are fine.  _x000a_- Closed-toe shoes are generally fine.  _x000a_- Fridays allow jeans and sneakers.  _x000a_- Remote workers may dress more casually.  _x000a_- Client-facing or special teams may have extra requirements. [^1]_x000a__x000a_Sources:  _x000a_- ^1 [Document 3_ General Employment Policies.txt](https://github.com/tobiaszwingmann/ai-evaluations-in-n8n-building-high-quality-outputs-you-can-trust-8508000/blob/main/documents/Document%203_%20General%20Employment%20Policies.txt)"/>
    <n v="15"/>
    <s v="2026-07-15T22:52:45.649Z"/>
    <s v="2026-07-17T14:10:44.019Z"/>
    <x v="1"/>
    <x v="2"/>
    <x v="1"/>
  </r>
  <r>
    <s v="What login security is required for remote access and important applications?"/>
    <s v="Document 9: IT Usage and Security Policies"/>
    <n v="1"/>
    <s v="Multi-Factor Authentication (MFA)"/>
    <n v="1"/>
    <n v="0.82000000000000006"/>
    <n v="3"/>
    <n v="1"/>
    <s v="All listed claims (MFA for remote access and important apps, second-step options, password length/complexity, 90-day changes for key accounts, do not share/IT will not ask, report compromise) are explicitly stated in Document 9."/>
    <s v="Multi‑Factor Authentication (MFA) is required for remote access and important applications.^1_x000a__x000a_- Multi‑Factor Authentication required for remote access._x000a_- Second step: authenticator app or text message._x000a_- Strong passwords: minimum eight characters, mixed character types._x000a_- Password changes every 90 days for key accounts._x000a_- Do not share passwords; IT will never ask._x000a_- Report suspected account compromise to IT immediately.^1_x000a__x000a_Sources:_x000a_- ^1 [Document 9_ IT Usage and Security Policies.txt](https://raw.githubusercontent.com/tobiaszwingmann/ai-evaluations-in-n8n-building-high-quality-outputs-you-can-trust-8508000/main/documents/Document%209_%20IT%20Usage%20and%20Security%20Policies.txt)"/>
    <n v="1"/>
    <s v="2026-07-15T22:52:45.649Z"/>
    <s v="2026-07-17T14:52:44.118Z"/>
    <x v="2"/>
    <x v="3"/>
    <x v="2"/>
  </r>
  <r>
    <s v="What technique should you use to operate a fire extinguisher?"/>
    <s v="Document 10: Workplace Safety and Emergency Procedures"/>
    <n v="1"/>
    <s v="The PASS method: Pull the pin, Aim at the base, Squeeze the trigger, Sweep side to side"/>
    <n v="1"/>
    <n v="0.85483870967741937"/>
    <n v="5"/>
    <n v="0"/>
    <s v="The PASS steps are correctly quoted from Document 10, but the response omits the document’s important safety caveat — that extinguishers should only be used if you are trained and the fire is very small — a material omission for emergency guidance."/>
    <s v="Use the PASS method to operate a fire extinguisher.^1_x000a__x000a_- Pull the pin.  _x000a_- Aim at base of fire.  _x000a_- Squeeze the trigger.  _x000a_- Sweep side to side.  _x000a__x000a_Sources:_x000a_- ^1 [Document 10_ Workplace Safety and Emergency Procedures.txt](https://raw.githubusercontent.com/tobiaszwingmann/ai-evaluations-in-n8n-building-high-quality-outputs-you-can-trust-8508000/main/documents/Document%2010_%20Workplace%20Safety%20and%20Emergency%20Procedures.txt)"/>
    <n v="2"/>
    <s v="2026-07-15T22:52:45.649Z"/>
    <s v="2026-07-17T14:53:37.581Z"/>
    <x v="2"/>
    <x v="3"/>
    <x v="2"/>
  </r>
  <r>
    <s v="Where is the primary emergency assembly point during an evacuation?"/>
    <s v="Document 10: Workplace Safety and Emergency Procedures"/>
    <n v="1"/>
    <s v="The parking lot across the street"/>
    <n v="1"/>
    <n v="0.85483870967741937"/>
    <n v="4"/>
    <n v="1"/>
    <s v="All statements in the AI response (assembly point is the parking lot or designated spot on the evacuation map; check in with supervisor/warden; do not re-enter until officials declare it safe) are directly stated in Document 10 Workplace Safety and Emergency Procedures."/>
    <s v="Our primary assembly point is the parking lot across the street, or the spot on the evacuation map. Check in with your supervisor or the warden there. Do not re-enter until officials declare it safe.^1_x000a__x000a_Sources:_x000a_- ^1 [Document 10_ Workplace Safety and Emergency Procedures.txt](https://raw.githubusercontent.com/tobiaszwingmann/ai-evaluations-in-n8n-building-high-quality-outputs-you-can-trust-8508000/main/documents/Document%2010_%20Workplace%20Safety%20and%20Emergency%20Procedures.txt)"/>
    <n v="3"/>
    <s v="2026-07-15T22:52:45.649Z"/>
    <s v="2026-07-17T14:54:32.046Z"/>
    <x v="2"/>
    <x v="3"/>
    <x v="2"/>
  </r>
  <r>
    <s v="How often are employees paid?"/>
    <s v="Document 5: Compensation, Payroll, and Promotions"/>
    <n v="1"/>
    <s v="Every two weeks (bi-weekly), typically every other Friday"/>
    <n v="1"/>
    <n v="0.84210526315789469"/>
    <n v="5"/>
    <n v="1"/>
    <s v="Document 5 explicitly states the company uses a bi‑weekly payroll (every two weeks), typically every other Friday, and that each paycheck covers the two‑week pay period that ended about one week prior to the pay date."/>
    <s v="Employees are paid on a bi-weekly schedule (every two weeks), typically every other Friday. Each paycheck covers the two-week pay period that ended about one week before the pay date. ^1_x000a__x000a_Sources:_x000a_- ^1 [Document 5_ Compensation, Payroll, and Promotions.txt](https://raw.githubusercontent.com/tobiaszwingmann/ai-evaluations-in-n8n-building-high-quality-outputs-you-can-trust-8508000/main/documents/Document%205_%20Compensation%2C%20Payroll%2C%20and%20Promotions.txt)"/>
    <n v="4"/>
    <s v="2026-07-15T22:52:45.649Z"/>
    <s v="2026-07-17T14:55:16.328Z"/>
    <x v="2"/>
    <x v="3"/>
    <x v="2"/>
  </r>
  <r>
    <s v="Explain the process for requesting parental leave."/>
    <s v="Document 7: Leave and Time Off Policies"/>
    <n v="1"/>
    <s v="Inform HR as early as possible (at least 30 days' notice if feasible). Primary caregivers are eligible for up to 12 weeks, with 6 weeks fully paid; the remaining 6 weeks are unpaid or can be covered using accrued vacation. Secondary caregivers get 2 weeks of paid leave. Work with HR on any FMLA paperwork."/>
    <n v="1"/>
    <n v="0.8085106382978724"/>
    <n v="5"/>
    <n v="1"/>
    <s v="Every factual statement in the AI response is directly supported by Document 7 (Leave and Time Off Policies); no material information is omitted or contradicted."/>
    <s v="Process to request parental leave:_x000a__x000a_- Give HR at least 30 days' notice, if feasible.  _x000a_- Submit a leave request through the HR timekeeping system.  _x000a_- Notify your manager; manager approves the request online.  _x000a_- Work with HR to complete parental leave forms.  _x000a_- Complete FMLA paperwork with HR, if eligible.  _x000a_- Primary caregivers: up to 12 weeks total; 6 weeks paid.  _x000a_- Remaining weeks unpaid or use accrued vacation for pay.  _x000a_- Secondary caregivers eligible for 2 paid weeks.  _x000a_- Leave may be continuous or flexible within first year.  _x000a_- Flexible timing requires manager approval.  _x000a_- Birth mothers: STD may run concurrently with leave.  _x000a_- For unplanned leave, notify your manager as soon as possible.  _x000a_- Manager or HR can log leave on your behalf.  _x000a_- HR coordinates benefits and paperwork during leave. ^1_x000a__x000a_Sources:_x000a_- ^1 [Document 7_ Leave and Time Off Policies.txt](https://raw.githubusercontent.com/tobiaszwingmann/ai-evaluations-in-n8n-building-high-quality-outputs-you-can-trust-8508000/main/documents/Document%207_%20Leave%20and%20Time%20Off%20Policies.txt)"/>
    <n v="5"/>
    <s v="2026-07-15T22:52:45.649Z"/>
    <s v="2026-07-17T14:57:13.511Z"/>
    <x v="2"/>
    <x v="3"/>
    <x v="2"/>
  </r>
  <r>
    <s v="Walk me through the steps of the annual performance review."/>
    <s v="Document 8: Performance Reviews and Career Development"/>
    <n v="1"/>
    <s v="Goals are set at the start of the year. The annual review (year-end, with a mid-year check-in) includes a self-assessment, a manager evaluation against goals, optional 360-degree feedback, a one-on-one review meeting, and a rating/outcome that can influence merit increases or bonuses."/>
    <n v="1"/>
    <n v="0.85483870967741937"/>
    <n v="4"/>
    <n v="1"/>
    <s v="All listed steps and statements directly match the content of Document 8 (Performance Reviews and Career Development); no unsupported or contradictory claims were added."/>
    <s v="Steps of the annual performance review:_x000a__x000a_- Annual review held at year-end; mid-year check-in too._x000a_- Set SMART goals with manager at review cycle start._x000a_- Receive ongoing feedback and regular check-ins throughout year._x000a_- Complete a self-assessment reflecting achievements and improvements._x000a_- Manager evaluates performance against goals and expectations._x000a_- Collect 360-degree feedback when applicable._x000a_- Attend one-on-one review meeting with manager._x000a_- Discuss feedback, recognition, and career aspirations._x000a_- Receive rating and outcome; may affect pay or bonuses._x000a_- Agree on career development plan and training needs._x000a_- Managers may issue a Performance Improvement Plan if needed.^1_x000a__x000a_Sources:_x000a_- ^1 [Document 8_ Performance Reviews and Career Development.txt](https://raw.githubusercontent.com/tobiaszwingmann/ai-evaluations-in-n8n-building-high-quality-outputs-you-can-trust-8508000/main/documents/Document%208_%20Performance%20Reviews%20and%20Career%20Development.txt)"/>
    <n v="6"/>
    <s v="2026-07-15T22:52:45.649Z"/>
    <s v="2026-07-17T14:58:32.999Z"/>
    <x v="2"/>
    <x v="3"/>
    <x v="2"/>
  </r>
  <r>
    <s v="Summarize who is eligible to work remotely and what is expected of them."/>
    <s v="Document 3: General Employment Policies"/>
    <n v="1"/>
    <s v="Many roles are eligible for remote or hybrid work; specifics (such as in-office days) are arranged with your manager. You must have a proper workspace and reliable internet, and stay fully engaged during work hours - available online, attending meetings, and meeting the same productivity expectations as in-office staff."/>
    <n v="0"/>
    <n v="0.39583333333333337"/>
    <n v="5"/>
    <n v="1"/>
    <s v="All listed eligibility and expectation points are directly supported by Document 3 (remote work, manager agreement, workspace/internet, engagement, scheduling, equipment reporting) and Document 9 (IT/MDM, personal laptop restrictions, passwords/MFA, approved data storage, reporting compromised devices). No unsupported claims were added."/>
    <s v="Eligibility:_x000a_Remote eligibility depends on role and team needs. If eligible, discuss arrangements with your manager.^1_x000a__x000a_Expectations:_x000a_- Maintain a proper workspace and reliable internet._x000a_- Be fully engaged during work hours._x000a_- Be available online and attend meetings._x000a_- Meet productivity expectations like in-office staff._x000a_- Agree schedule and hybrid days with manager._x000a_- Use company equipment or request IT/HR support._x000a_- Personal devices require PIN and MDM enrollment._x000a_- Personal laptops generally not allowed without authorization._x000a_- Use strong passwords and MFA for remote access._x000a_- Store company data only in approved systems._x000a_- Report lost or compromised devices to IT immediately.^1,^2_x000a__x000a_Sources:_x000a_- ^1 [Document 3_ General Employment Policies.txt](https://raw.githubusercontent.com/tobiaszwingmann/ai-evaluations-in-n8n-building-high-quality-outputs-you-can-trust-8508000/main/documents/Document%203_%20General%20Employment%20Policies.txt)_x000a_- ^2 [Document 9_ IT Usage and Security Policies.txt](https://raw.githubusercontent.com/tobiaszwingmann/ai-evaluations-in-n8n-building-high-quality-outputs-you-can-trust-8508000/main/documents/Document%209_%20IT%20Usage%20and%20Security%20Policies.txt)"/>
    <n v="7"/>
    <s v="2026-07-15T22:52:45.649Z"/>
    <s v="2026-07-17T15:00:43.080Z"/>
    <x v="2"/>
    <x v="3"/>
    <x v="2"/>
  </r>
  <r>
    <s v="What should a new hire expect on their first day?"/>
    <s v="Document 2: Onboarding Process and New Hire Orientation"/>
    <n v="1"/>
    <s v="Arrive at the front desk by 9:00 AM for HR orientation. Complete remaining paperwork (tax forms, direct deposit), receive an ID badge and an office tour, get issued equipment and log into systems, get a high-level review of key policies and benefits enrollment, and meet an assigned buddy/mentor who often hosts a welcome lunch."/>
    <n v="1"/>
    <n v="0.85714285714285721"/>
    <n v="5"/>
    <n v="1"/>
    <s v="Each bullet matches statements in Document 2 (arrival time, HR orientation, paperwork, ID/tour, equipment/logins, high-level policy review, benefits overview, buddy and lunch, HR Q&amp;A); no unsupported claims added."/>
    <s v="Expect the following on your first day:_x000a__x000a_- Arrive at the front desk by 9:00 AM.  _x000a_- HR orientation and brief welcome.  _x000a_- Complete new hire paperwork (tax, direct deposit).  _x000a_- Receive company ID badge and office tour.  _x000a_- Get issued equipment; set up logins and email.  _x000a_- High-level policy overview (code of conduct, hours).  _x000a_- Brief benefits enrollment overview.  _x000a_- Assigned a buddy/mentor; likely lunch with them.  _x000a_- HR will answer your initial questions._x000a__x000a_Sources: _x000a_- ^1 [Document 2_ Onboarding Process and New Hire Orientation.txt](https://raw.githubusercontent.com/tobiaszwingmann/ai-evaluations-in-n8n-building-high-quality-outputs-you-can-trust-8508000/main/documents/Document%202_%20Onboarding%20Process%20and%20New%20Hire%20Orientation.txt)"/>
    <n v="8"/>
    <s v="2026-07-15T22:52:45.649Z"/>
    <s v="2026-07-17T15:02:07.155Z"/>
    <x v="2"/>
    <x v="3"/>
    <x v="2"/>
  </r>
  <r>
    <s v="For a birth mother, how does paid parental leave coordinate with short-term disability?"/>
    <s v="Document 6: Employee Benefits and Perks | Document 7: Leave and Time Off Policies"/>
    <n v="2"/>
    <s v="Primary caregivers get up to 12 weeks of parental leave, 6 of them fully paid. For birth mothers, short-term disability (STD) typically covers 6-8 weeks of medical recovery and runs concurrently with that leave. STD is company-paid and replaces a portion of salary (generally up to 13 weeks). Coordinate the overlap and paperwork with HR."/>
    <n v="1"/>
    <n v="0.81720430107526876"/>
    <n v="5"/>
    <n v="1"/>
    <s v="Each statement is directly supported by the cited passages in Document 7 and Document 6 (parental leave details and STD/benefits); no unsupported or contradictory information added."/>
    <s v="- Primary caregivers get up to 12 weeks parental leave.^1  _x000a_- Company provides six weeks of that leave fully paid.^1  _x000a_- Remaining six weeks unpaid or use accrued vacation.^1  _x000a_- Short-term disability pays part of your salary when ill.^2  _x000a_- STD is generally available up to 13 weeks.^2  _x000a_- For birth mothers, STD typically covers six to eight weeks.^1  _x000a_- STD runs concurrently with parental leave for birth mothers.^1  _x000a_- Inform HR at least 30 days' notice, if feasible.^1_x000a__x000a_Sources: _x000a_- ^1 [Document 7_ Leave and Time Off Policies.txt](https://raw.githubusercontent.com/tobiaszwingmann/ai-evaluations-in-n8n-building-high-quality-outputs-you-can-trust-8508000/main/documents/Document%207_%20Leave%20and%20Time%20Off%20Policies.txt)  _x000a_- ^2 [Document 6_ Employee Benefits and Perks.txt](https://raw.githubusercontent.com/tobiaszwingmann/ai-evaluations-in-n8n-building-high-quality-outputs-you-can-trust-8508000/main/documents/Document%206_%20Employee%20Benefits%20and%20Perks.txt)"/>
    <n v="9"/>
    <s v="2026-07-15T22:52:45.649Z"/>
    <s v="2026-07-17T15:03:40.963Z"/>
    <x v="2"/>
    <x v="3"/>
    <x v="2"/>
  </r>
  <r>
    <s v="If I am out sick longer than my paid sick days, what covers my income?"/>
    <s v="Document 6: Employee Benefits and Perks | Document 7: Leave and Time Off Policies"/>
    <n v="2"/>
    <s v="Full-time employees receive 10 paid sick days per year. If illness keeps you out longer, company-paid Short-Term Disability (STD) replaces a portion of your salary for a short period (generally up to 13 weeks), with Long-Term Disability available beyond that. So sick leave covers the first days and disability insurance covers an extended absence."/>
    <n v="1"/>
    <n v="0.81720430107526876"/>
    <n v="3"/>
    <n v="1"/>
    <s v="All claims are directly supported by Document 6 (STD up to ~13 weeks; LTD continues after STD) and Document 7 (FMLA up to 12 weeks, unpaid leave typically up to 30 days, HR coordinates benefits and option to use accrued vacation), with no unsupported additions."/>
    <s v="Short-term disability (STD) can replace part of your pay for extended illness, generally up to about 13 weeks. Long-term disability (LTD) may provide income after the STD period ends.^1_x000a__x000a_You may also be eligible for job‑protected unpaid leave under FMLA (up to 12 weeks if eligible). You can request an unpaid leave of absence; approvals depend on business needs and are typically up to 30 days. HR will coordinate benefits and discuss options like using accrued vacation to remain paid in some cases.^2_x000a__x000a_Sources:_x000a_- ^1 [Document 6_ Employee Benefits and Perks.txt](https://raw.githubusercontent.com/tobiaszwingmann/ai-evaluations-in-n8n-building-high-quality-outputs-you-can-trust-8508000/main/documents/Document%206_%20Employee%20Benefits%20and%20Perks.txt)_x000a_- ^2 [Document 7_ Leave and Time Off Policies.txt](https://raw.githubusercontent.com/tobiaszwingmann/ai-evaluations-in-n8n-building-high-quality-outputs-you-can-trust-8508000/main/documents/Document%207_%20Leave%20and%20Time%20Off%20Policies.txt)"/>
    <n v="10"/>
    <s v="2026-07-15T22:52:45.649Z"/>
    <s v="2026-07-17T15:06:00.218Z"/>
    <x v="2"/>
    <x v="3"/>
    <x v="2"/>
  </r>
  <r>
    <s v="How do the remote-work policy and IT equipment support work together for a home office?"/>
    <s v="Document 3: General Employment Policies | Document 9: IT Usage and Security Policies"/>
    <n v="2"/>
    <s v="Many roles are eligible for remote or hybrid work (arranged with your manager), and you must have a proper workspace and reliable internet. The company supports your home office with a stipend or company-provided equipment, and additional peripherals (e.g., a printer) can be arranged through IT/HR under its reimbursement policy. Personal laptops generally are not allowed for work - the company provides required computer equipment."/>
    <n v="1"/>
    <n v="0.82291666666666663"/>
    <n v="4"/>
    <n v="1"/>
    <s v="All listed claims are directly supported by Document 3 and Document 9 (remote-work arrangements, stipend/equipment, company-provided devices, encryption and monitoring, MDM for personal phones, restriction on personal laptops, reporting lost/damaged equipment, requesting peripherals/reimbursement via IT/HR, and discussing remote schedule with manager). No material contradictions or unsupported additions."/>
    <s v="They link remote-work expectations with IT provisioning and security.^1,^2_x000a__x000a_Key points:_x000a_- Stipend or company equipment available._x000a_- Company supplies laptops, monitors, phones._x000a_- Devices encrypted; company may access device data._x000a_- Personal phones require MDM enrollment._x000a_- Personal laptops generally not allowed._x000a_- Report lost, stolen, or damaged equipment immediately._x000a_- Request peripherals or reimbursement via IT/HR._x000a_- Discuss remote schedule and needs with manager._x000a__x000a_Sources:_x000a_- ^1 [Document 3_ General Employment Policies.txt](https://raw.githubusercontent.com/tobiaszwingmann/ai-evaluations-in-n8n-building-high-quality-outputs-you-can-trust-8508000/main/documents/Document%203_%20General%20Employment%20Policies.txt)_x000a_- ^2 [Document 9_ IT Usage and Security Policies.txt](https://raw.githubusercontent.com/tobiaszwingmann/ai-evaluations-in-n8n-building-high-quality-outputs-you-can-trust-8508000/main/documents/Document%209_%20IT%20Usage%20and%20Security%20Policies.txt)"/>
    <n v="11"/>
    <s v="2026-07-15T22:52:45.649Z"/>
    <s v="2026-07-17T15:08:22.990Z"/>
    <x v="2"/>
    <x v="3"/>
    <x v="2"/>
  </r>
  <r>
    <s v="How are annual performance reviews connected to pay raises and bonuses?"/>
    <s v="Document 5: Compensation, Payroll, and Promotions | Document 8: Performance Reviews and Career Development"/>
    <n v="2"/>
    <s v="Performance is reviewed annually (year-end, with a mid-year check-in) and given a rating. Those ratings drive compensation: the company sets an annual raise budget distributed by performance rating and market benchmarks (merit increases), and the performance-based bonus pays out when both company targets and individual goals are met. Strong reviews also support promotions, which come with a higher compensation package."/>
    <n v="1"/>
    <n v="0.85593220338983045"/>
    <n v="4"/>
    <n v="1"/>
    <s v="All statements in the AI response are supported by Document 5 and Document 8 (annual reviews influence pay/bonuses; company sets a raise budget and distributes raises based on performance ratings and market benchmarks; bonuses are discretionary year‑end payments tied to company and individual performance; criteria/bonus criteria are communicated in advance during review season). No unsupported claims were added."/>
    <s v="Annual performance reviews influence raises and bonuses.^1^2_x000a__x000a_- Raises: Considered during annual reviews; company sets raise budget.^1  _x000a_- Distribution: Based on performance ratings and market benchmarks.^1  _x000a_- Bonuses: Discretionary year‑end payments tied to company and performance.^1  _x000a_- Criteria: Communicated in advance during performance review season.^1_x000a__x000a_Sources:  _x000a_- ^1 [Document 5_ Compensation, Payroll, and Promotions.txt](https://raw.githubusercontent.com/tobiaszwingmann/ai-evaluations-in-n8n-building-high-quality-outputs-you-can-trust-8508000/main/documents/Document%205_%20Compensation%2C%20Payroll%2C%20and%20Promotions.txt)  _x000a_- ^2 [Document 8_ Performance Reviews and Career Development.txt](https://raw.githubusercontent.com/tobiaszwingmann/ai-evaluations-in-n8n-building-high-quality-outputs-you-can-trust-8508000/main/documents/Document%208_%20Performance%20Reviews%20and%20Career%20Development.txt)"/>
    <n v="12"/>
    <s v="2026-07-15T22:52:45.649Z"/>
    <s v="2026-07-17T15:10:21.063Z"/>
    <x v="2"/>
    <x v="3"/>
    <x v="2"/>
  </r>
  <r>
    <s v="Does ABC Inc offer pet insurance as an employee benefit?"/>
    <s v="NA"/>
    <n v="0"/>
    <s v="I’m sorry, I can’t answer that. Please contact HR"/>
    <n v="1"/>
    <n v="0"/>
    <n v="4"/>
    <n v="0"/>
    <s v="The assistant asserts the handbook contains no information but provides no evidence. The repository includes multiple handbook documents; the claim of ‘not addressed anywhere’ is unsupported without searching their contents."/>
    <s v="This is not addressed anywhere in the handbook. Please contact HR."/>
    <n v="13"/>
    <s v="2026-07-15T22:52:45.649Z"/>
    <s v="2026-07-17T15:10:59.121Z"/>
    <x v="2"/>
    <x v="3"/>
    <x v="2"/>
  </r>
  <r>
    <s v="What is the company's sabbatical leave policy?"/>
    <s v="NA"/>
    <n v="0"/>
    <s v="I’m sorry, I can’t answer that. Please contact HR"/>
    <n v="1"/>
    <n v="0"/>
    <n v="4"/>
    <n v="0"/>
    <s v="The response asserts the handbook contains no information about ‘this’ but provides no citation and the claim cannot be verified from the available documents. Without a specific topic and supporting evidence across the listed handbook files, the statement is unsupported."/>
    <s v="This is not addressed anywhere in the handbook. Please contact HR."/>
    <n v="14"/>
    <s v="2026-07-15T22:52:45.649Z"/>
    <s v="2026-07-17T15:11:37.111Z"/>
    <x v="2"/>
    <x v="3"/>
    <x v="2"/>
  </r>
  <r>
    <s v="What is the dress code?"/>
    <s v="Document 3: General Employment Policies"/>
    <n v="1"/>
    <s v="Business casual - e.g., collared shirts, blouses, slacks or neat jeans, and closed-toe shoes. Fridays are casual (jeans and sneakers welcome). Remote staff may dress more casually but should be presentable for video meetings."/>
    <n v="1"/>
    <n v="0.8085106382978724"/>
    <n v="4"/>
    <n v="1"/>
    <s v="All claims in the AI response match the dress code section of Document 3 (business-casual, examples of acceptable clothing, closed-toe shoes, Friday casual dress, remote employees presentable for video meetings, and team-specific manager requirements). No unsupported information was added."/>
    <s v="The dress code is business-casual. Collared shirts, blouses, slacks or neat jeans are acceptable. Closed-toe shoes are preferred. Fridays are casual dress days; jeans and sneakers are welcome. Remote employees should be presentable for video meetings. Some teams may have specific attire requirements from managers.^1_x000a__x000a_Sources:_x000a_- ^1 [Document 3_ General Employment Policies.txt](https://github.com/tobiaszwingmann/ai-evaluations-in-n8n-building-high-quality-outputs-you-can-trust-8508000/blob/main/documents/Document%203_%20General%20Employment%20Policies.txt)"/>
    <n v="15"/>
    <s v="2026-07-15T22:52:45.649Z"/>
    <s v="2026-07-17T15:13:12.730Z"/>
    <x v="2"/>
    <x v="3"/>
    <x v="2"/>
  </r>
  <r>
    <s v="What login security is required for remote access and important applications?"/>
    <s v="Document 9: IT Usage and Security Policies"/>
    <n v="1"/>
    <s v="Multi-Factor Authentication (MFA)"/>
    <n v="1"/>
    <n v="0.82000000000000006"/>
    <n v="4"/>
    <n v="1"/>
    <s v="Both statements are directly supported by Document 9: it states MFA is used for remote access and important applications and gives examples (authenticator app code or text message) as the second step."/>
    <s v="Multi-Factor Authentication (MFA) is required for remote access and important applications.^1 This process requires a second login step, such as a verification code from an authenticator app or a text message.^1_x000a__x000a_Sources:_x000a_- ^1 [Document 9_ IT Usage and Security Policies.txt](https://raw.githubusercontent.com/tobiaszwingmann/ai-evaluations-in-n8n-building-high-quality-outputs-you-can-trust-8508000/main/documents/Document%209_%20IT%20Usage%20and%20Security%20Policies.txt)"/>
    <n v="1"/>
    <s v="2026-07-15T22:52:45.649Z"/>
    <s v="2026-07-17T15:59:55.901Z"/>
    <x v="3"/>
    <x v="4"/>
    <x v="3"/>
  </r>
  <r>
    <s v="What technique should you use to operate a fire extinguisher?"/>
    <s v="Document 10: Workplace Safety and Emergency Procedures"/>
    <n v="1"/>
    <s v="The PASS method: Pull the pin, Aim at the base, Squeeze the trigger, Sweep side to side"/>
    <n v="1"/>
    <n v="0.85483870967741937"/>
    <n v="5"/>
    <n v="1"/>
    <s v="Document 10’s Fire Safety section explicitly lists the PASS method and the four steps (Pull pin; Aim at base; Squeeze trigger; Sweep side to side), so the AI response is fully supported by the source."/>
    <s v="To operate a fire extinguisher, you should use the PASS method.^1_x000a__x000a_The PASS method includes these steps:_x000a_* Pull the pin._x000a_* Aim at the base._x000a_* Squeeze the trigger._x000a_* Sweep side to side._x000a__x000a_Sources:_x000a_- ^1 [Document 10_ Workplace Safety and Emergency Procedures.txt](https://api.github.com/repos/tobiaszwingmann/ai-evaluations-in-n8n-building-high-quality-outputs-you-can-trust-8508000/contents/documents/Document%2010_%20Workplace%20Safety%20and%20Emergency%20Procedures.txt?ref=main)"/>
    <n v="2"/>
    <s v="2026-07-15T22:52:45.649Z"/>
    <s v="2026-07-17T16:00:56.526Z"/>
    <x v="3"/>
    <x v="4"/>
    <x v="3"/>
  </r>
  <r>
    <s v="Where is the primary emergency assembly point during an evacuation?"/>
    <s v="Document 10: Workplace Safety and Emergency Procedures"/>
    <n v="1"/>
    <s v="The parking lot across the street"/>
    <n v="1"/>
    <n v="0.85483870967741937"/>
    <n v="4"/>
    <n v="1"/>
    <s v="The claim exactly matches Document 10, which states the primary assembly point is the parking lot across the street (or the designated spot on the evacuation map)."/>
    <s v="The primary emergency assembly point during an evacuation is the parking lot across the street, or the designated spot noted on the evacuation map.^1_x000a__x000a_Sources:_x000a_- ^1 [Document 10_ Workplace Safety and Emergency Procedures.txt](https://raw.githubusercontent.com/tobiaszwingmann/ai-evaluations-in-n8n-building-high-quality-outputs-you-can-trust-8508000/main/documents/Document%2010_%20Workplace%20Safety%20and%20Emergency%20Procedures.txt)"/>
    <n v="3"/>
    <s v="2026-07-15T22:52:45.649Z"/>
    <s v="2026-07-17T16:01:21.018Z"/>
    <x v="3"/>
    <x v="4"/>
    <x v="3"/>
  </r>
  <r>
    <s v="How often are employees paid?"/>
    <s v="Document 5: Compensation, Payroll, and Promotions"/>
    <n v="1"/>
    <s v="Every two weeks (bi-weekly), typically every other Friday"/>
    <n v="0"/>
    <n v="0"/>
    <n v="1"/>
    <n v="1"/>
    <s v="The URL in the AI response points to the provided Document 5 and the tool download returned that exact file content; the response’s action (downloading the file) is supported by the source. No unsupported claims were made."/>
    <s v="Calling Download_File with input: {&quot;URL&quot;:&quot;https://raw.githubusercontent.com/tobiaszwingmann/ai-evaluations-in-n8n-building-high-quality-outputs-you-can-trust-8508000/main/documents/Document%205_%20Compensation%2C%20Payroll%2C%20and%20Promotions.txt&quot;}"/>
    <n v="4"/>
    <s v="2026-07-15T22:52:45.649Z"/>
    <s v="2026-07-17T16:01:50.224Z"/>
    <x v="3"/>
    <x v="4"/>
    <x v="3"/>
  </r>
  <r>
    <s v="Explain the process for requesting parental leave."/>
    <s v="Document 7: Leave and Time Off Policies"/>
    <n v="1"/>
    <s v="Inform HR as early as possible (at least 30 days' notice if feasible). Primary caregivers are eligible for up to 12 weeks, with 6 weeks fully paid; the remaining 6 weeks are unpaid or can be covered using accrued vacation. Secondary caregivers get 2 weeks of paid leave. Work with HR on any FMLA paperwork."/>
    <n v="0"/>
    <n v="0"/>
    <n v="1"/>
    <n v="0"/>
    <s v="The response shows a call to 'Download_File' but the available function is named 'Download_File1'; the AI did not actually call the provided tool and made a mismatched function-name claim, so it is not supported by the source/tools."/>
    <s v="Calling Download_File with input: {&quot;URL&quot;:&quot;https://raw.githubusercontent.com/tobiaszwingmann/ai-evaluations-in-n8n-building-high-quality-outputs-you-can-trust-8508000/main/documents/Document%207_%20Leave%20and%20Time%20Off%20Policies.txt&quot;}"/>
    <n v="5"/>
    <s v="2026-07-15T22:52:45.649Z"/>
    <s v="2026-07-17T16:02:11.872Z"/>
    <x v="3"/>
    <x v="4"/>
    <x v="3"/>
  </r>
  <r>
    <s v="Walk me through the steps of the annual performance review."/>
    <s v="Document 8: Performance Reviews and Career Development"/>
    <n v="1"/>
    <s v="Goals are set at the start of the year. The annual review (year-end, with a mid-year check-in) includes a self-assessment, a manager evaluation against goals, optional 360-degree feedback, a one-on-one review meeting, and a rating/outcome that can influence merit increases or bonuses."/>
    <n v="0"/>
    <n v="0"/>
    <n v="1"/>
    <n v="1"/>
    <s v="The assistant's output reproduces the content of Document 8 (Performance Reviews and Career Development) exactly; all claims are supported by the downloaded source and no unsupported information was added."/>
    <s v="Calling Download_File with input: {&quot;URL&quot;:&quot;https://raw.githubusercontent.com/tobiaszwingmann/ai-evaluations-in-n8n-building-high-quality-outputs-you-can-trust-8508000/main/documents/Document%208_%20Performance%20Reviews%20and%20Career%20Development.txt&quot;}"/>
    <n v="6"/>
    <s v="2026-07-15T22:52:45.649Z"/>
    <s v="2026-07-17T16:02:52.883Z"/>
    <x v="3"/>
    <x v="4"/>
    <x v="3"/>
  </r>
  <r>
    <s v="Summarize who is eligible to work remotely and what is expected of them."/>
    <s v="Document 3: General Employment Policies"/>
    <n v="1"/>
    <s v="Many roles are eligible for remote or hybrid work; specifics (such as in-office days) are arranged with your manager. You must have a proper workspace and reliable internet, and stay fully engaged during work hours - available online, attending meetings, and meeting the same productivity expectations as in-office staff."/>
    <n v="0"/>
    <n v="0.26760563380281688"/>
    <n v="4"/>
    <n v="0"/>
    <s v="Two claims are unsupported/contradicted by the sources: Document 6 does not state that flexible schedules are typically limited to full‑time employees (it mentions flexible schedules but not that limitation), and Document 9 does not prohibit personal laptops—rather it allows personal devices with security controls (BYOD). Other statements are supported."/>
    <s v="### Remote Work Eligibility_x000a__x000a_Eligibility for remote or hybrid work is based on your role. You must discuss arrangements with your manager to determine schedule details.^1 Flexible schedules are typically offered as a benefit to full-time employees.^2_x000a__x000a_* Depends on team needs and position.^1_x000a_* Discussion and approval with your manager is required.^1_x000a_* Full-time employees are typically eligible for flexible arrangements.^2_x000a__x000a_### Remote Work Expectations_x000a__x000a_Remote employees must maintain high performance, professional behavior, and strict data security.^1 ^3_x000a__x000a_* You must have a proper workspace and reliable internet.^1_x000a_* Stay fully engaged and available online during work hours.^1_x000a_* Attend meetings and meet regular productivity expectations.^1_x000a_* Dress professionally and presentably for video meetings.^1_x000a_* Personal laptops are generally not allowed for work.^3_x000a_* Abide by security rules when using personal mobile devices.^3_x000a__x000a_Sources:_x000a_- ^1 [Document 3_ General Employment Policies.txt](https://api.github.com/repos/tobiaszwingmann/ai-evaluations-in-n8n-building-high-quality-outputs-you-can-trust-8508000/contents/documents/Document%203_%20General%20Employment%20Policies.txt?ref=main)_x000a_- ^2 [Document 6_ Employee Benefits and Perks.txt](https://api.github.com/repos/tobiaszwingmann/ai-evaluations-in-n8n-building-high-quality-outputs-you-can-trust-8508000/contents/documents/Document%206_%20Employee%20Benefits%20and%20Perks.txt?ref=main)_x000a_- ^3 [Document 9_ IT Usage and Security Policies.txt](https://api.github.com/repos/tobiaszwingmann/ai-evaluations-in-n8n-building-high-quality-outputs-you-can-trust-8508000/contents/documents/Document%209_%20IT%20Usage%20and%20Security%20Policies.txt?ref=main)"/>
    <n v="7"/>
    <s v="2026-07-15T22:52:45.649Z"/>
    <s v="2026-07-17T16:04:38.004Z"/>
    <x v="3"/>
    <x v="4"/>
    <x v="3"/>
  </r>
  <r>
    <s v="What should a new hire expect on their first day?"/>
    <s v="Document 2: Onboarding Process and New Hire Orientation"/>
    <n v="1"/>
    <s v="Arrive at the front desk by 9:00 AM for HR orientation. Complete remaining paperwork (tax forms, direct deposit), receive an ID badge and an office tour, get issued equipment and log into systems, get a high-level review of key policies and benefits enrollment, and meet an assigned buddy/mentor who often hosts a welcome lunch."/>
    <n v="1"/>
    <n v="0.85714285714285721"/>
    <n v="4"/>
    <n v="1"/>
    <s v="All listed first-day items and the remote orientation details are directly supported by the provided onboarding document; no unsupported or contradictory claims were added."/>
    <s v="On your first day, you should expect the following:_x000a__x000a_* Arrive at the front desk by 9:00 AM.^1_x000a_* HR will greet you for a brief orientation.^1_x000a_* Complete any remaining new hire paperwork.^1_x000a_* Get your ID badge and an office tour.^1_x000a_* Receive your equipment and login assistance.^1_x000a_* Review company policies at a high level.^1_x000a_* Learn briefly about benefits enrollment.^1_x000a_* Meet your buddy and go to lunch.^1_x000a__x000a_For remote employees, orientation is held via video conference, and equipment is shipped beforehand.^1_x000a__x000a_Sources:_x000a_- ^1 [Document 2_ Onboarding Process and New Hire Orientation.txt](https://api.github.com/repos/tobiaszwingmann/ai-evaluations-in-n8n-building-high-quality-outputs-you-can-trust-8508000/contents/documents/Document%202_%20Onboarding%20Process%20and%20New%20Hire%20Orientation.txt?ref=main)"/>
    <n v="8"/>
    <s v="2026-07-15T22:52:45.649Z"/>
    <s v="2026-07-17T16:05:14.900Z"/>
    <x v="3"/>
    <x v="4"/>
    <x v="3"/>
  </r>
  <r>
    <s v="For a birth mother, how does paid parental leave coordinate with short-term disability?"/>
    <s v="Document 6: Employee Benefits and Perks | Document 7: Leave and Time Off Policies"/>
    <n v="2"/>
    <s v="Primary caregivers get up to 12 weeks of parental leave, 6 of them fully paid. For birth mothers, short-term disability (STD) typically covers 6-8 weeks of medical recovery and runs concurrently with that leave. STD is company-paid and replaces a portion of salary (generally up to 13 weeks). Coordinate the overlap and paperwork with HR."/>
    <n v="0"/>
    <n v="0.39506172839506171"/>
    <n v="2"/>
    <n v="1"/>
    <s v="Document 7 explicitly states parental leave is in addition to short-term disability, notes STD typically covers 6–8 weeks of medical recovery for birth mothers, and indicates those benefits run concurrently."/>
    <s v="According to Document 7, paid parental leave coordinates with short-term disability as follows:^1_x000a__x000a_* Paid parental leave is in addition to short-term disability._x000a_* Short-term disability typically covers 6-8 weeks of recovery._x000a_* Both benefits run concurrently._x000a__x000a_Sources: _x000a_- ^1 [Document 7_ Leave and Time Off Policies.txt](https://api.github.com/repos/tobiaszwingmann/ai-evaluations-in-n8n-building-high-quality-outputs-you-can-trust-8508000/contents/documents/Document%207_%20Leave%20and%20Time%20Off%20Policies.txt?ref=main)"/>
    <n v="9"/>
    <s v="2026-07-15T22:52:45.649Z"/>
    <s v="2026-07-17T16:05:56.579Z"/>
    <x v="3"/>
    <x v="4"/>
    <x v="3"/>
  </r>
  <r>
    <s v="If I am out sick longer than my paid sick days, what covers my income?"/>
    <s v="Document 6: Employee Benefits and Perks | Document 7: Leave and Time Off Policies"/>
    <n v="2"/>
    <s v="Full-time employees receive 10 paid sick days per year. If illness keeps you out longer, company-paid Short-Term Disability (STD) replaces a portion of your salary for a short period (generally up to 13 weeks), with Long-Term Disability available beyond that. So sick leave covers the first days and disability insurance covers an extended absence."/>
    <n v="0"/>
    <n v="0"/>
    <n v="1"/>
    <n v="1"/>
    <s v="The repository listing returned by List_files1 includes Document 7 with the same raw.githubusercontent.com download_url, so the Download_File call for that URL is supported by the source."/>
    <s v="Calling Download_File with input: {&quot;URL&quot;:&quot;https://raw.githubusercontent.com/tobiaszwingmann/ai-evaluations-in-n8n-building-high-quality-outputs-you-can-trust-8508000/main/documents/Document%207_%20Leave%20and%20Time%20Off%20Policies.txt&quot;}"/>
    <n v="10"/>
    <s v="2026-07-15T22:52:45.649Z"/>
    <s v="2026-07-17T16:06:24.127Z"/>
    <x v="3"/>
    <x v="4"/>
    <x v="3"/>
  </r>
  <r>
    <s v="How do the remote-work policy and IT equipment support work together for a home office?"/>
    <s v="Document 3: General Employment Policies | Document 9: IT Usage and Security Policies"/>
    <n v="2"/>
    <s v="Many roles are eligible for remote or hybrid work (arranged with your manager), and you must have a proper workspace and reliable internet. The company supports your home office with a stipend or company-provided equipment, and additional peripherals (e.g., a printer) can be arranged through IT/HR under its reimbursement policy. Personal laptops generally are not allowed for work - the company provides required computer equipment."/>
    <n v="1"/>
    <n v="0.82291666666666663"/>
    <n v="4"/>
    <n v="1"/>
    <s v="All four claims are directly supported by the cited documents: Document 3 states remote work requires a proper workspace and reliable internet and mentions a stipend or company equipment for home office support; Document 9 states the company provides necessary equipment (e.g., laptops) and describes a policy for requesting additional peripherals or expense reimbursement. No unsupported or contradictory content was added."/>
    <s v="The remote-work policy and IT equipment support collaborate to ensure remote employees have a functional home office. ^1 ^2_x000a__x000a_* Remote work requires a proper workspace and reliable internet. ^1_x000a_* The company provides necessary computer equipment like laptops. ^2_x000a_* A stipend or company equipment supports your setup. ^1_x000a_* Remote staff can request extra peripherals or expense reimbursement. ^2_x000a__x000a_Sources:_x000a_- ^1 [Document 3_ General Employment Policies.txt](https://api.github.com/repos/tobiaszwingmann/ai-evaluations-in-n8n-building-high-quality-outputs-you-can-trust-8508000/contents/documents/Document%203_%20General%20Employment%20Policies.txt?ref=main)_x000a_- ^2 [Document 9_ IT Usage and Security Policies.txt](https://api.github.com/repos/tobiaszwingmann/ai-evaluations-in-n8n-building-high-quality-outputs-you-can-trust-8508000/contents/documents/Document%209_%20IT%20Usage%20and%20Security%20Policies.txt?ref=main)"/>
    <n v="11"/>
    <s v="2026-07-15T22:52:45.649Z"/>
    <s v="2026-07-17T16:07:13.873Z"/>
    <x v="3"/>
    <x v="4"/>
    <x v="3"/>
  </r>
  <r>
    <s v="How are annual performance reviews connected to pay raises and bonuses?"/>
    <s v="Document 5: Compensation, Payroll, and Promotions | Document 8: Performance Reviews and Career Development"/>
    <n v="2"/>
    <s v="Performance is reviewed annually (year-end, with a mid-year check-in) and given a rating. Those ratings drive compensation: the company sets an annual raise budget distributed by performance rating and market benchmarks (merit increases), and the performance-based bonus pays out when both company targets and individual goals are met. Strong reviews also support promotions, which come with a higher compensation package."/>
    <n v="0"/>
    <n v="0"/>
    <n v="1"/>
    <n v="0"/>
    <s v="The response asserts a Download_File call to the Document 5 raw URL, but the tool logs show only a List_files1 call and no Download_File was executed; the claimed download is unsupported by the provided output."/>
    <s v="Calling Download_File with input: {&quot;URL&quot;:&quot;https://raw.githubusercontent.com/tobiaszwingmann/ai-evaluations-in-n8n-building-high-quality-outputs-you-can-trust-8508000/main/documents/Document%205_%20Compensation%2C%20Payroll%2C%20and%20Promotions.txt&quot;}"/>
    <n v="12"/>
    <s v="2026-07-15T22:52:45.649Z"/>
    <s v="2026-07-17T16:07:38.006Z"/>
    <x v="3"/>
    <x v="4"/>
    <x v="3"/>
  </r>
  <r>
    <s v="Does ABC Inc offer pet insurance as an employee benefit?"/>
    <s v="NA"/>
    <n v="0"/>
    <s v="I’m sorry, I can’t answer that. Please contact HR"/>
    <n v="1"/>
    <n v="0"/>
    <n v="1"/>
    <n v="0"/>
    <s v="The AI response claims it called Download_File with the given URL, but the available tool output shows a List_files1 call (no Download_File call). While the listed files include the matching download_url, there is no evidence the Download_File call was made, so the claim is unsupported."/>
    <s v="Calling Download_File with input: {&quot;URL&quot;:&quot;https://raw.githubusercontent.com/tobiaszwingmann/ai-evaluations-in-n8n-building-high-quality-outputs-you-can-trust-8508000/main/documents/Document%206_%20Employee%20Benefits%20and%20Perks.txt&quot;}"/>
    <n v="13"/>
    <s v="2026-07-15T22:52:45.649Z"/>
    <s v="2026-07-17T16:08:05.191Z"/>
    <x v="3"/>
    <x v="4"/>
    <x v="3"/>
  </r>
  <r>
    <s v="What is the company's sabbatical leave policy?"/>
    <s v="NA"/>
    <n v="0"/>
    <s v="I’m sorry, I can’t answer that. Please contact HR"/>
    <n v="1"/>
    <n v="0"/>
    <n v="1"/>
    <n v="0"/>
    <s v="The response claims a Download_File call with that URL, but the actual assistant call shown is List_files1 (no Download_File was called). The claim of having called Download_File is unsupported/incorrect."/>
    <s v="Calling Download_File with input: {&quot;URL&quot;:&quot;https://raw.githubusercontent.com/tobiaszwingmann/ai-evaluations-in-n8n-building-high-quality-outputs-you-can-trust-8508000/main/documents/Document%207_%20Leave%20and%20Time%20Off%20Policies.txt&quot;}"/>
    <n v="14"/>
    <s v="2026-07-15T22:52:45.649Z"/>
    <s v="2026-07-17T16:08:27.464Z"/>
    <x v="3"/>
    <x v="4"/>
    <x v="3"/>
  </r>
  <r>
    <s v="What is the dress code?"/>
    <s v="Document 3: General Employment Policies"/>
    <n v="1"/>
    <s v="Business casual - e.g., collared shirts, blouses, slacks or neat jeans, and closed-toe shoes. Fridays are casual (jeans and sneakers welcome). Remote staff may dress more casually but should be presentable for video meetings."/>
    <n v="0"/>
    <n v="0"/>
    <n v="1"/>
    <n v="1"/>
    <s v="The response’s download URL and filename match the file listed in the provided List_files1 output (Document 3_ General Employment Policies.txt); no unsupported factual claims or contradictions are present."/>
    <s v="Calling Download_File with input: {&quot;URL&quot;:&quot;https://raw.githubusercontent.com/tobiaszwingmann/ai-evaluations-in-n8n-building-high-quality-outputs-you-can-trust-8508000/main/documents/Document%203_%20General%20Employment%20Policies.txt&quot;}_x000a__x000a_Policies.txt&quot; (Wait, there was a typo in my URL encoding or file name? Let's use the actual URL from the JSON list)_x000a_The url is: https://raw.githubusercontent.com/tobiaszwingmann/ai-evaluations-in-n8n-building-high-quality-outputs-you-can-trust-8508000/main/documents/Document%203_%20General%20Employment%20Policies.txt_x000a_Let's call Download_File._x000a_Calling Download_File with input: {&quot;URL&quot;:&quot;https://raw.githubusercontent.com/tobiaszwingmann/ai-evaluations-in-n8n-building-high-quality-outputs-you-can-trust-8508000/main/documents/Document%203_%20General%20Employment%20Policies.txt&quot;}"/>
    <n v="15"/>
    <s v="2026-07-15T22:52:45.649Z"/>
    <s v="2026-07-17T16:08:57.287Z"/>
    <x v="3"/>
    <x v="4"/>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C19755-32F5-CF4E-BBAE-C35281E0994A}" name="PivotTable1"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un">
  <location ref="A18:F23" firstHeaderRow="0" firstDataRow="1" firstDataCol="1" rowPageCount="1" colPageCount="1"/>
  <pivotFields count="16">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axis="axisRow" showAll="0">
      <items count="6">
        <item x="0"/>
        <item x="1"/>
        <item x="2"/>
        <item m="1" x="4"/>
        <item x="3"/>
        <item t="default"/>
      </items>
    </pivotField>
    <pivotField dataField="1" showAll="0"/>
    <pivotField axis="axisPage" showAll="0">
      <items count="12">
        <item m="1" x="10"/>
        <item m="1" x="6"/>
        <item m="1" x="7"/>
        <item m="1" x="8"/>
        <item m="1" x="9"/>
        <item m="1" x="5"/>
        <item x="2"/>
        <item x="0"/>
        <item x="1"/>
        <item m="1" x="4"/>
        <item x="3"/>
        <item t="default"/>
      </items>
    </pivotField>
  </pivotFields>
  <rowFields count="1">
    <field x="13"/>
  </rowFields>
  <rowItems count="5">
    <i>
      <x/>
    </i>
    <i>
      <x v="1"/>
    </i>
    <i>
      <x v="2"/>
    </i>
    <i>
      <x v="4"/>
    </i>
    <i t="grand">
      <x/>
    </i>
  </rowItems>
  <colFields count="1">
    <field x="-2"/>
  </colFields>
  <colItems count="5">
    <i>
      <x/>
    </i>
    <i i="1">
      <x v="1"/>
    </i>
    <i i="2">
      <x v="2"/>
    </i>
    <i i="3">
      <x v="3"/>
    </i>
    <i i="4">
      <x v="4"/>
    </i>
  </colItems>
  <pageFields count="1">
    <pageField fld="15" hier="-1"/>
  </pageFields>
  <dataFields count="5">
    <dataField name="Average of eval_source_count" fld="4" subtotal="average" baseField="0" baseItem="0"/>
    <dataField name="Average of eval_source_match" fld="5" subtotal="average" baseField="0" baseItem="0"/>
    <dataField name="Average of scoring_judge" fld="6" subtotal="average" baseField="0" baseItem="0"/>
    <dataField name="Average of faithfulness_judge" fld="7" subtotal="average" baseField="0" baseItem="0"/>
    <dataField name="Min of execution_time" fld="14" subtotal="min" baseField="0" baseItem="0" numFmtId="166"/>
  </dataFields>
  <formats count="15">
    <format dxfId="70">
      <pivotArea collapsedLevelsAreSubtotals="1" fieldPosition="0">
        <references count="1">
          <reference field="13" count="0"/>
        </references>
      </pivotArea>
    </format>
    <format dxfId="69">
      <pivotArea grandRow="1" outline="0" collapsedLevelsAreSubtotals="1" fieldPosition="0"/>
    </format>
    <format dxfId="68">
      <pivotArea collapsedLevelsAreSubtotals="1" fieldPosition="0">
        <references count="2">
          <reference field="4294967294" count="1" selected="0">
            <x v="4"/>
          </reference>
          <reference field="13" count="1">
            <x v="2"/>
          </reference>
        </references>
      </pivotArea>
    </format>
    <format dxfId="67">
      <pivotArea collapsedLevelsAreSubtotals="1" fieldPosition="0">
        <references count="2">
          <reference field="4294967294" count="1" selected="0">
            <x v="4"/>
          </reference>
          <reference field="13" count="1">
            <x v="0"/>
          </reference>
        </references>
      </pivotArea>
    </format>
    <format dxfId="66">
      <pivotArea dataOnly="0" labelOnly="1" outline="0" fieldPosition="0">
        <references count="1">
          <reference field="4294967294" count="5">
            <x v="0"/>
            <x v="1"/>
            <x v="2"/>
            <x v="3"/>
            <x v="4"/>
          </reference>
        </references>
      </pivotArea>
    </format>
    <format dxfId="65">
      <pivotArea field="13" type="button" dataOnly="0" labelOnly="1" outline="0" axis="axisRow" fieldPosition="0"/>
    </format>
    <format dxfId="64">
      <pivotArea dataOnly="0" labelOnly="1" outline="0" fieldPosition="0">
        <references count="1">
          <reference field="4294967294" count="5">
            <x v="0"/>
            <x v="1"/>
            <x v="2"/>
            <x v="3"/>
            <x v="4"/>
          </reference>
        </references>
      </pivotArea>
    </format>
    <format dxfId="63">
      <pivotArea collapsedLevelsAreSubtotals="1" fieldPosition="0">
        <references count="2">
          <reference field="4294967294" count="4" selected="0">
            <x v="0"/>
            <x v="1"/>
            <x v="2"/>
            <x v="3"/>
          </reference>
          <reference field="13" count="2">
            <x v="0"/>
            <x v="2"/>
          </reference>
        </references>
      </pivotArea>
    </format>
    <format dxfId="62">
      <pivotArea collapsedLevelsAreSubtotals="1" fieldPosition="0">
        <references count="2">
          <reference field="4294967294" count="4" selected="0">
            <x v="0"/>
            <x v="1"/>
            <x v="2"/>
            <x v="3"/>
          </reference>
          <reference field="13" count="2">
            <x v="0"/>
            <x v="2"/>
          </reference>
        </references>
      </pivotArea>
    </format>
    <format dxfId="61">
      <pivotArea field="13" grandRow="1" outline="0" collapsedLevelsAreSubtotals="1" axis="axisRow" fieldPosition="0">
        <references count="1">
          <reference field="4294967294" count="4" selected="0">
            <x v="0"/>
            <x v="1"/>
            <x v="2"/>
            <x v="3"/>
          </reference>
        </references>
      </pivotArea>
    </format>
    <format dxfId="60">
      <pivotArea field="13" grandRow="1" outline="0" collapsedLevelsAreSubtotals="1" axis="axisRow" fieldPosition="0">
        <references count="1">
          <reference field="4294967294" count="4" selected="0">
            <x v="0"/>
            <x v="1"/>
            <x v="2"/>
            <x v="3"/>
          </reference>
        </references>
      </pivotArea>
    </format>
    <format dxfId="59">
      <pivotArea field="13" grandRow="1" outline="0" collapsedLevelsAreSubtotals="1" axis="axisRow" fieldPosition="0">
        <references count="1">
          <reference field="4294967294" count="1" selected="0">
            <x v="4"/>
          </reference>
        </references>
      </pivotArea>
    </format>
    <format dxfId="58">
      <pivotArea outline="0" collapsedLevelsAreSubtotals="1" fieldPosition="0"/>
    </format>
    <format dxfId="57">
      <pivotArea dataOnly="0" labelOnly="1" outline="0" fieldPosition="0">
        <references count="1">
          <reference field="4294967294" count="5">
            <x v="0"/>
            <x v="1"/>
            <x v="2"/>
            <x v="3"/>
            <x v="4"/>
          </reference>
        </references>
      </pivotArea>
    </format>
    <format dxfId="56">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3211AA-E078-2442-B4F6-B2DB8D24326E}" name="PivotTable2" cacheId="7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Execution ID">
  <location ref="A18:F22" firstHeaderRow="0" firstDataRow="1" firstDataCol="1" rowPageCount="1" colPageCount="1"/>
  <pivotFields count="16">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axis="axisRow" showAll="0">
      <items count="6">
        <item x="0"/>
        <item x="1"/>
        <item x="2"/>
        <item m="1" x="4"/>
        <item x="3"/>
        <item t="default"/>
      </items>
    </pivotField>
    <pivotField axis="axisPage" dataField="1" numFmtId="22" showAll="0">
      <items count="6">
        <item x="0"/>
        <item x="1"/>
        <item x="2"/>
        <item x="3"/>
        <item x="4"/>
        <item t="default"/>
      </items>
    </pivotField>
    <pivotField showAll="0"/>
  </pivotFields>
  <rowFields count="1">
    <field x="13"/>
  </rowFields>
  <rowItems count="4">
    <i>
      <x/>
    </i>
    <i>
      <x v="1"/>
    </i>
    <i>
      <x v="2"/>
    </i>
    <i>
      <x v="4"/>
    </i>
  </rowItems>
  <colFields count="1">
    <field x="-2"/>
  </colFields>
  <colItems count="5">
    <i>
      <x/>
    </i>
    <i i="1">
      <x v="1"/>
    </i>
    <i i="2">
      <x v="2"/>
    </i>
    <i i="3">
      <x v="3"/>
    </i>
    <i i="4">
      <x v="4"/>
    </i>
  </colItems>
  <pageFields count="1">
    <pageField fld="14" hier="-1"/>
  </pageFields>
  <dataFields count="5">
    <dataField name="Time" fld="14" subtotal="min" baseField="0" baseItem="0" numFmtId="166"/>
    <dataField name="Source Count Match" fld="4" subtotal="average" baseField="0" baseItem="0" numFmtId="10"/>
    <dataField name="Source Names Match" fld="5" subtotal="average" baseField="0" baseItem="0" numFmtId="10"/>
    <dataField name="Faithfulness" fld="7" subtotal="average" baseField="0" baseItem="0" numFmtId="9"/>
    <dataField name="Score" fld="6" subtotal="average" baseField="0" baseItem="0" numFmtId="2"/>
  </dataFields>
  <formats count="13">
    <format dxfId="84">
      <pivotArea outline="0" collapsedLevelsAreSubtotals="1" fieldPosition="0"/>
    </format>
    <format dxfId="83">
      <pivotArea outline="0" collapsedLevelsAreSubtotals="1" fieldPosition="0">
        <references count="1">
          <reference field="4294967294" count="4" selected="0">
            <x v="1"/>
            <x v="2"/>
            <x v="3"/>
            <x v="4"/>
          </reference>
        </references>
      </pivotArea>
    </format>
    <format dxfId="82">
      <pivotArea outline="0" collapsedLevelsAreSubtotals="1" fieldPosition="0">
        <references count="1">
          <reference field="4294967294" count="2" selected="0">
            <x v="1"/>
            <x v="2"/>
          </reference>
        </references>
      </pivotArea>
    </format>
    <format dxfId="81">
      <pivotArea outline="0" collapsedLevelsAreSubtotals="1" fieldPosition="0">
        <references count="1">
          <reference field="4294967294" count="1" selected="0">
            <x v="3"/>
          </reference>
        </references>
      </pivotArea>
    </format>
    <format dxfId="80">
      <pivotArea field="13" type="button" dataOnly="0" labelOnly="1" outline="0" axis="axisRow" fieldPosition="0"/>
    </format>
    <format dxfId="79">
      <pivotArea dataOnly="0" labelOnly="1" outline="0" fieldPosition="0">
        <references count="1">
          <reference field="4294967294" count="5">
            <x v="0"/>
            <x v="1"/>
            <x v="2"/>
            <x v="3"/>
            <x v="4"/>
          </reference>
        </references>
      </pivotArea>
    </format>
    <format dxfId="78">
      <pivotArea field="13" type="button" dataOnly="0" labelOnly="1" outline="0" axis="axisRow" fieldPosition="0"/>
    </format>
    <format dxfId="77">
      <pivotArea dataOnly="0" labelOnly="1" outline="0" fieldPosition="0">
        <references count="1">
          <reference field="4294967294" count="5">
            <x v="0"/>
            <x v="1"/>
            <x v="2"/>
            <x v="3"/>
            <x v="4"/>
          </reference>
        </references>
      </pivotArea>
    </format>
    <format dxfId="76">
      <pivotArea field="13" type="button" dataOnly="0" labelOnly="1" outline="0" axis="axisRow" fieldPosition="0"/>
    </format>
    <format dxfId="75">
      <pivotArea dataOnly="0" labelOnly="1" outline="0" fieldPosition="0">
        <references count="1">
          <reference field="4294967294" count="5">
            <x v="0"/>
            <x v="1"/>
            <x v="2"/>
            <x v="3"/>
            <x v="4"/>
          </reference>
        </references>
      </pivotArea>
    </format>
    <format dxfId="74">
      <pivotArea field="13" type="button" dataOnly="0" labelOnly="1" outline="0" axis="axisRow" fieldPosition="0"/>
    </format>
    <format dxfId="73">
      <pivotArea dataOnly="0" labelOnly="1" outline="0" fieldPosition="0">
        <references count="1">
          <reference field="4294967294" count="5">
            <x v="0"/>
            <x v="1"/>
            <x v="2"/>
            <x v="3"/>
            <x v="4"/>
          </reference>
        </references>
      </pivotArea>
    </format>
    <format dxfId="72">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un_History" displayName="Run_History" ref="A1:P61">
  <autoFilter ref="A1:P61" xr:uid="{00000000-0009-0000-0100-000001000000}"/>
  <tableColumns count="16">
    <tableColumn id="1" xr3:uid="{00000000-0010-0000-0000-000001000000}" name="question"/>
    <tableColumn id="2" xr3:uid="{00000000-0010-0000-0000-000002000000}" name="expected_sources"/>
    <tableColumn id="3" xr3:uid="{00000000-0010-0000-0000-000003000000}" name="expected_source_count"/>
    <tableColumn id="4" xr3:uid="{00000000-0010-0000-0000-000004000000}" name="expected_answer"/>
    <tableColumn id="6" xr3:uid="{00000000-0010-0000-0000-000006000000}" name="eval_source_count"/>
    <tableColumn id="7" xr3:uid="{00000000-0010-0000-0000-000007000000}" name="eval_source_match"/>
    <tableColumn id="8" xr3:uid="{00000000-0010-0000-0000-000008000000}" name="scoring_judge"/>
    <tableColumn id="10" xr3:uid="{00000000-0010-0000-0000-00000A000000}" name="faithfulness_judge"/>
    <tableColumn id="13" xr3:uid="{00000000-0010-0000-0000-00000D000000}" name="faithfulness_judge_reason"/>
    <tableColumn id="5" xr3:uid="{00000000-0010-0000-0000-000005000000}" name="agent_output"/>
    <tableColumn id="15" xr3:uid="{00000000-0010-0000-0000-00000F000000}" name="id"/>
    <tableColumn id="16" xr3:uid="{00000000-0010-0000-0000-000010000000}" name="createdAt"/>
    <tableColumn id="17" xr3:uid="{00000000-0010-0000-0000-000011000000}" name="updatedAt"/>
    <tableColumn id="9" xr3:uid="{BD785108-0488-1649-991B-336688D41F0A}" name="execution_id"/>
    <tableColumn id="11" xr3:uid="{1F850C99-944D-2E4C-AF2C-BD137E1DDB40}" name="execution_time" dataDxfId="71"/>
    <tableColumn id="18" xr3:uid="{00000000-0010-0000-0000-000012000000}" name="comment"/>
  </tableColumns>
  <tableStyleInfo name="TableStyleLight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61"/>
  <sheetViews>
    <sheetView topLeftCell="H38" workbookViewId="0">
      <selection activeCell="H65" sqref="H65"/>
    </sheetView>
  </sheetViews>
  <sheetFormatPr baseColWidth="10" defaultRowHeight="16" x14ac:dyDescent="0.2"/>
  <cols>
    <col min="1" max="1" width="36" customWidth="1"/>
    <col min="2" max="2" width="28" customWidth="1"/>
    <col min="3" max="3" width="22.6640625" customWidth="1"/>
    <col min="4" max="4" width="42" customWidth="1"/>
    <col min="5" max="5" width="18.6640625" customWidth="1"/>
    <col min="6" max="6" width="26" customWidth="1"/>
    <col min="7" max="7" width="23.83203125" customWidth="1"/>
    <col min="8" max="8" width="23.6640625" customWidth="1"/>
    <col min="9" max="9" width="30.1640625" customWidth="1"/>
    <col min="11" max="11" width="42" customWidth="1"/>
    <col min="13" max="13" width="28.33203125" customWidth="1"/>
    <col min="14" max="14" width="32" customWidth="1"/>
    <col min="15" max="15" width="30" customWidth="1"/>
    <col min="16" max="16" width="30" style="33" customWidth="1"/>
    <col min="17" max="17" width="30" customWidth="1"/>
    <col min="18" max="18" width="27.5" customWidth="1"/>
    <col min="20" max="20" width="22.33203125" customWidth="1"/>
    <col min="21" max="21" width="22.1640625" customWidth="1"/>
    <col min="22" max="22" width="20" customWidth="1"/>
  </cols>
  <sheetData>
    <row r="1" spans="1:16" ht="34" x14ac:dyDescent="0.2">
      <c r="A1" s="2" t="s">
        <v>0</v>
      </c>
      <c r="B1" s="2" t="s">
        <v>1</v>
      </c>
      <c r="C1" s="2" t="s">
        <v>2</v>
      </c>
      <c r="D1" s="2" t="s">
        <v>3</v>
      </c>
      <c r="E1" s="2" t="s">
        <v>4</v>
      </c>
      <c r="F1" s="2" t="s">
        <v>63</v>
      </c>
      <c r="G1" s="2" t="s">
        <v>67</v>
      </c>
      <c r="H1" s="2" t="s">
        <v>64</v>
      </c>
      <c r="I1" s="2" t="s">
        <v>65</v>
      </c>
      <c r="J1" s="2" t="s">
        <v>66</v>
      </c>
      <c r="K1" s="2" t="s">
        <v>5</v>
      </c>
      <c r="L1" s="2" t="s">
        <v>6</v>
      </c>
      <c r="M1" s="2" t="s">
        <v>7</v>
      </c>
      <c r="N1" s="2" t="s">
        <v>68</v>
      </c>
      <c r="O1" s="32" t="s">
        <v>69</v>
      </c>
      <c r="P1" s="2" t="s">
        <v>70</v>
      </c>
    </row>
    <row r="2" spans="1:16" x14ac:dyDescent="0.2">
      <c r="A2" t="s">
        <v>8</v>
      </c>
      <c r="B2" t="s">
        <v>9</v>
      </c>
      <c r="C2">
        <v>1</v>
      </c>
      <c r="D2" t="s">
        <v>10</v>
      </c>
      <c r="E2">
        <v>1</v>
      </c>
      <c r="F2">
        <v>0.82000000000000006</v>
      </c>
      <c r="G2">
        <v>2</v>
      </c>
      <c r="H2">
        <v>1</v>
      </c>
      <c r="I2" t="s">
        <v>71</v>
      </c>
      <c r="J2" t="s">
        <v>72</v>
      </c>
      <c r="K2">
        <v>1</v>
      </c>
      <c r="L2" t="s">
        <v>73</v>
      </c>
      <c r="M2" t="s">
        <v>74</v>
      </c>
      <c r="N2" t="s">
        <v>75</v>
      </c>
      <c r="O2" s="34">
        <v>46218.249305555553</v>
      </c>
      <c r="P2" s="7" t="s">
        <v>116</v>
      </c>
    </row>
    <row r="3" spans="1:16" x14ac:dyDescent="0.2">
      <c r="A3" t="s">
        <v>11</v>
      </c>
      <c r="B3" t="s">
        <v>12</v>
      </c>
      <c r="C3">
        <v>1</v>
      </c>
      <c r="D3" t="s">
        <v>13</v>
      </c>
      <c r="E3">
        <v>1</v>
      </c>
      <c r="F3">
        <v>0.85483870967741937</v>
      </c>
      <c r="G3">
        <v>5</v>
      </c>
      <c r="H3">
        <v>0</v>
      </c>
      <c r="I3" t="s">
        <v>76</v>
      </c>
      <c r="J3" t="s">
        <v>77</v>
      </c>
      <c r="K3">
        <v>2</v>
      </c>
      <c r="L3" t="s">
        <v>73</v>
      </c>
      <c r="M3" t="s">
        <v>78</v>
      </c>
      <c r="N3" t="s">
        <v>75</v>
      </c>
      <c r="O3" s="34">
        <v>46220.249305555553</v>
      </c>
      <c r="P3" s="7" t="s">
        <v>116</v>
      </c>
    </row>
    <row r="4" spans="1:16" x14ac:dyDescent="0.2">
      <c r="A4" t="s">
        <v>14</v>
      </c>
      <c r="B4" t="s">
        <v>12</v>
      </c>
      <c r="C4">
        <v>1</v>
      </c>
      <c r="D4" t="s">
        <v>15</v>
      </c>
      <c r="E4">
        <v>1</v>
      </c>
      <c r="F4">
        <v>0.85483870967741937</v>
      </c>
      <c r="G4">
        <v>3</v>
      </c>
      <c r="H4">
        <v>1</v>
      </c>
      <c r="I4" t="s">
        <v>79</v>
      </c>
      <c r="J4" t="s">
        <v>80</v>
      </c>
      <c r="K4">
        <v>3</v>
      </c>
      <c r="L4" t="s">
        <v>73</v>
      </c>
      <c r="M4" t="s">
        <v>81</v>
      </c>
      <c r="N4" t="s">
        <v>75</v>
      </c>
      <c r="O4" s="34">
        <v>46220.249305555553</v>
      </c>
      <c r="P4" s="7" t="s">
        <v>116</v>
      </c>
    </row>
    <row r="5" spans="1:16" x14ac:dyDescent="0.2">
      <c r="A5" t="s">
        <v>16</v>
      </c>
      <c r="B5" t="s">
        <v>17</v>
      </c>
      <c r="C5">
        <v>1</v>
      </c>
      <c r="D5" t="s">
        <v>18</v>
      </c>
      <c r="E5">
        <v>1</v>
      </c>
      <c r="F5">
        <v>0.84210526315789469</v>
      </c>
      <c r="G5">
        <v>5</v>
      </c>
      <c r="H5">
        <v>1</v>
      </c>
      <c r="I5" t="s">
        <v>82</v>
      </c>
      <c r="J5" t="s">
        <v>83</v>
      </c>
      <c r="K5">
        <v>4</v>
      </c>
      <c r="L5" t="s">
        <v>73</v>
      </c>
      <c r="M5" t="s">
        <v>84</v>
      </c>
      <c r="N5" t="s">
        <v>75</v>
      </c>
      <c r="O5" s="34">
        <v>46220.249305555553</v>
      </c>
      <c r="P5" s="7" t="s">
        <v>116</v>
      </c>
    </row>
    <row r="6" spans="1:16" x14ac:dyDescent="0.2">
      <c r="A6" t="s">
        <v>19</v>
      </c>
      <c r="B6" t="s">
        <v>20</v>
      </c>
      <c r="C6">
        <v>1</v>
      </c>
      <c r="D6" t="s">
        <v>21</v>
      </c>
      <c r="E6">
        <v>1</v>
      </c>
      <c r="F6">
        <v>0.8085106382978724</v>
      </c>
      <c r="G6">
        <v>5</v>
      </c>
      <c r="H6">
        <v>1</v>
      </c>
      <c r="I6" t="s">
        <v>85</v>
      </c>
      <c r="J6" t="s">
        <v>86</v>
      </c>
      <c r="K6">
        <v>5</v>
      </c>
      <c r="L6" t="s">
        <v>73</v>
      </c>
      <c r="M6" t="s">
        <v>87</v>
      </c>
      <c r="N6" t="s">
        <v>75</v>
      </c>
      <c r="O6" s="34">
        <v>46220.249305555553</v>
      </c>
      <c r="P6" s="7" t="s">
        <v>116</v>
      </c>
    </row>
    <row r="7" spans="1:16" x14ac:dyDescent="0.2">
      <c r="A7" t="s">
        <v>22</v>
      </c>
      <c r="B7" t="s">
        <v>23</v>
      </c>
      <c r="C7">
        <v>1</v>
      </c>
      <c r="D7" t="s">
        <v>24</v>
      </c>
      <c r="E7">
        <v>1</v>
      </c>
      <c r="F7">
        <v>0.85483870967741937</v>
      </c>
      <c r="G7">
        <v>5</v>
      </c>
      <c r="H7">
        <v>1</v>
      </c>
      <c r="I7" t="s">
        <v>88</v>
      </c>
      <c r="J7" t="s">
        <v>89</v>
      </c>
      <c r="K7">
        <v>6</v>
      </c>
      <c r="L7" t="s">
        <v>73</v>
      </c>
      <c r="M7" t="s">
        <v>90</v>
      </c>
      <c r="N7" t="s">
        <v>75</v>
      </c>
      <c r="O7" s="34">
        <v>46220.249305555553</v>
      </c>
      <c r="P7" s="7" t="s">
        <v>116</v>
      </c>
    </row>
    <row r="8" spans="1:16" x14ac:dyDescent="0.2">
      <c r="A8" t="s">
        <v>25</v>
      </c>
      <c r="B8" t="s">
        <v>26</v>
      </c>
      <c r="C8">
        <v>1</v>
      </c>
      <c r="D8" t="s">
        <v>27</v>
      </c>
      <c r="E8">
        <v>0</v>
      </c>
      <c r="F8">
        <v>0.39583333333333337</v>
      </c>
      <c r="G8">
        <v>5</v>
      </c>
      <c r="H8">
        <v>0</v>
      </c>
      <c r="I8" t="s">
        <v>91</v>
      </c>
      <c r="J8" t="s">
        <v>92</v>
      </c>
      <c r="K8">
        <v>7</v>
      </c>
      <c r="L8" t="s">
        <v>73</v>
      </c>
      <c r="M8" t="s">
        <v>93</v>
      </c>
      <c r="N8" t="s">
        <v>75</v>
      </c>
      <c r="O8" s="34">
        <v>46220.249305555553</v>
      </c>
      <c r="P8" s="7" t="s">
        <v>116</v>
      </c>
    </row>
    <row r="9" spans="1:16" x14ac:dyDescent="0.2">
      <c r="A9" t="s">
        <v>28</v>
      </c>
      <c r="B9" t="s">
        <v>29</v>
      </c>
      <c r="C9">
        <v>1</v>
      </c>
      <c r="D9" t="s">
        <v>30</v>
      </c>
      <c r="E9">
        <v>0</v>
      </c>
      <c r="F9">
        <v>0.49090909090909096</v>
      </c>
      <c r="G9">
        <v>5</v>
      </c>
      <c r="H9">
        <v>1</v>
      </c>
      <c r="I9" t="s">
        <v>94</v>
      </c>
      <c r="J9" t="s">
        <v>95</v>
      </c>
      <c r="K9">
        <v>8</v>
      </c>
      <c r="L9" t="s">
        <v>73</v>
      </c>
      <c r="M9" t="s">
        <v>96</v>
      </c>
      <c r="N9" t="s">
        <v>75</v>
      </c>
      <c r="O9" s="34">
        <v>46220.249305555553</v>
      </c>
      <c r="P9" s="7" t="s">
        <v>116</v>
      </c>
    </row>
    <row r="10" spans="1:16" x14ac:dyDescent="0.2">
      <c r="A10" t="s">
        <v>31</v>
      </c>
      <c r="B10" t="s">
        <v>32</v>
      </c>
      <c r="C10">
        <v>2</v>
      </c>
      <c r="D10" t="s">
        <v>33</v>
      </c>
      <c r="E10">
        <v>1</v>
      </c>
      <c r="F10">
        <v>0.81720430107526876</v>
      </c>
      <c r="G10">
        <v>4</v>
      </c>
      <c r="H10">
        <v>1</v>
      </c>
      <c r="I10" t="s">
        <v>97</v>
      </c>
      <c r="J10" t="s">
        <v>98</v>
      </c>
      <c r="K10">
        <v>9</v>
      </c>
      <c r="L10" t="s">
        <v>73</v>
      </c>
      <c r="M10" t="s">
        <v>99</v>
      </c>
      <c r="N10" t="s">
        <v>75</v>
      </c>
      <c r="O10" s="34">
        <v>46220.249305555553</v>
      </c>
      <c r="P10" s="7" t="s">
        <v>116</v>
      </c>
    </row>
    <row r="11" spans="1:16" x14ac:dyDescent="0.2">
      <c r="A11" t="s">
        <v>34</v>
      </c>
      <c r="B11" t="s">
        <v>32</v>
      </c>
      <c r="C11">
        <v>2</v>
      </c>
      <c r="D11" t="s">
        <v>35</v>
      </c>
      <c r="E11">
        <v>1</v>
      </c>
      <c r="F11">
        <v>0.81720430107526876</v>
      </c>
      <c r="G11">
        <v>3</v>
      </c>
      <c r="H11">
        <v>0</v>
      </c>
      <c r="I11" t="s">
        <v>100</v>
      </c>
      <c r="J11" t="s">
        <v>101</v>
      </c>
      <c r="K11">
        <v>10</v>
      </c>
      <c r="L11" t="s">
        <v>73</v>
      </c>
      <c r="M11" t="s">
        <v>102</v>
      </c>
      <c r="N11" t="s">
        <v>75</v>
      </c>
      <c r="O11" s="34">
        <v>46220.249305555553</v>
      </c>
      <c r="P11" s="7" t="s">
        <v>116</v>
      </c>
    </row>
    <row r="12" spans="1:16" x14ac:dyDescent="0.2">
      <c r="A12" t="s">
        <v>36</v>
      </c>
      <c r="B12" t="s">
        <v>37</v>
      </c>
      <c r="C12">
        <v>2</v>
      </c>
      <c r="D12" t="s">
        <v>38</v>
      </c>
      <c r="E12">
        <v>0</v>
      </c>
      <c r="F12">
        <v>0.50318471337579618</v>
      </c>
      <c r="G12">
        <v>4</v>
      </c>
      <c r="H12">
        <v>1</v>
      </c>
      <c r="I12" t="s">
        <v>103</v>
      </c>
      <c r="J12" t="s">
        <v>104</v>
      </c>
      <c r="K12">
        <v>11</v>
      </c>
      <c r="L12" t="s">
        <v>73</v>
      </c>
      <c r="M12" t="s">
        <v>105</v>
      </c>
      <c r="N12" t="s">
        <v>75</v>
      </c>
      <c r="O12" s="34">
        <v>46220.249305555553</v>
      </c>
      <c r="P12" s="7" t="s">
        <v>116</v>
      </c>
    </row>
    <row r="13" spans="1:16" x14ac:dyDescent="0.2">
      <c r="A13" t="s">
        <v>39</v>
      </c>
      <c r="B13" t="s">
        <v>40</v>
      </c>
      <c r="C13">
        <v>2</v>
      </c>
      <c r="D13" t="s">
        <v>41</v>
      </c>
      <c r="E13">
        <v>1</v>
      </c>
      <c r="F13">
        <v>0.85593220338983045</v>
      </c>
      <c r="G13">
        <v>3</v>
      </c>
      <c r="H13">
        <v>1</v>
      </c>
      <c r="I13" t="s">
        <v>106</v>
      </c>
      <c r="J13" t="s">
        <v>107</v>
      </c>
      <c r="K13">
        <v>12</v>
      </c>
      <c r="L13" t="s">
        <v>73</v>
      </c>
      <c r="M13" t="s">
        <v>108</v>
      </c>
      <c r="N13" t="s">
        <v>75</v>
      </c>
      <c r="O13" s="34">
        <v>46220.249305555553</v>
      </c>
      <c r="P13" s="7" t="s">
        <v>116</v>
      </c>
    </row>
    <row r="14" spans="1:16" x14ac:dyDescent="0.2">
      <c r="A14" t="s">
        <v>42</v>
      </c>
      <c r="B14" t="s">
        <v>43</v>
      </c>
      <c r="C14">
        <v>0</v>
      </c>
      <c r="D14" t="s">
        <v>44</v>
      </c>
      <c r="E14">
        <v>1</v>
      </c>
      <c r="F14">
        <v>0</v>
      </c>
      <c r="G14">
        <v>2</v>
      </c>
      <c r="H14">
        <v>0</v>
      </c>
      <c r="I14" t="s">
        <v>109</v>
      </c>
      <c r="J14" t="s">
        <v>60</v>
      </c>
      <c r="K14">
        <v>13</v>
      </c>
      <c r="L14" t="s">
        <v>73</v>
      </c>
      <c r="M14" t="s">
        <v>110</v>
      </c>
      <c r="N14" t="s">
        <v>75</v>
      </c>
      <c r="O14" s="34">
        <v>46220.249305555553</v>
      </c>
      <c r="P14" s="7" t="s">
        <v>116</v>
      </c>
    </row>
    <row r="15" spans="1:16" x14ac:dyDescent="0.2">
      <c r="A15" t="s">
        <v>45</v>
      </c>
      <c r="B15" t="s">
        <v>43</v>
      </c>
      <c r="C15">
        <v>0</v>
      </c>
      <c r="D15" t="s">
        <v>46</v>
      </c>
      <c r="E15">
        <v>1</v>
      </c>
      <c r="F15">
        <v>0</v>
      </c>
      <c r="G15">
        <v>1</v>
      </c>
      <c r="H15">
        <v>0</v>
      </c>
      <c r="I15" t="s">
        <v>111</v>
      </c>
      <c r="J15" t="s">
        <v>47</v>
      </c>
      <c r="K15">
        <v>14</v>
      </c>
      <c r="L15" t="s">
        <v>73</v>
      </c>
      <c r="M15" t="s">
        <v>112</v>
      </c>
      <c r="N15" t="s">
        <v>75</v>
      </c>
      <c r="O15" s="34">
        <v>46220.249305555553</v>
      </c>
      <c r="P15" s="7" t="s">
        <v>116</v>
      </c>
    </row>
    <row r="16" spans="1:16" x14ac:dyDescent="0.2">
      <c r="A16" t="s">
        <v>48</v>
      </c>
      <c r="B16" t="s">
        <v>26</v>
      </c>
      <c r="C16">
        <v>1</v>
      </c>
      <c r="D16" t="s">
        <v>49</v>
      </c>
      <c r="E16">
        <v>1</v>
      </c>
      <c r="F16">
        <v>0.8085106382978724</v>
      </c>
      <c r="G16">
        <v>4</v>
      </c>
      <c r="H16">
        <v>1</v>
      </c>
      <c r="I16" t="s">
        <v>113</v>
      </c>
      <c r="J16" t="s">
        <v>114</v>
      </c>
      <c r="K16">
        <v>15</v>
      </c>
      <c r="L16" t="s">
        <v>73</v>
      </c>
      <c r="M16" t="s">
        <v>115</v>
      </c>
      <c r="N16" t="s">
        <v>75</v>
      </c>
      <c r="O16" s="34">
        <v>46220.249305555553</v>
      </c>
      <c r="P16" s="7" t="s">
        <v>116</v>
      </c>
    </row>
    <row r="17" spans="1:16" x14ac:dyDescent="0.2">
      <c r="A17" t="s">
        <v>8</v>
      </c>
      <c r="B17" t="s">
        <v>9</v>
      </c>
      <c r="C17">
        <v>1</v>
      </c>
      <c r="D17" t="s">
        <v>10</v>
      </c>
      <c r="E17">
        <v>0</v>
      </c>
      <c r="F17">
        <v>0.3529411764705882</v>
      </c>
      <c r="G17">
        <v>2</v>
      </c>
      <c r="H17">
        <v>1</v>
      </c>
      <c r="I17" t="s">
        <v>117</v>
      </c>
      <c r="J17" t="s">
        <v>118</v>
      </c>
      <c r="K17">
        <v>1</v>
      </c>
      <c r="L17" t="s">
        <v>73</v>
      </c>
      <c r="M17" t="s">
        <v>119</v>
      </c>
      <c r="N17" t="s">
        <v>120</v>
      </c>
      <c r="O17" s="34">
        <v>46220.59097222222</v>
      </c>
      <c r="P17" s="7" t="s">
        <v>163</v>
      </c>
    </row>
    <row r="18" spans="1:16" x14ac:dyDescent="0.2">
      <c r="A18" t="s">
        <v>11</v>
      </c>
      <c r="B18" t="s">
        <v>12</v>
      </c>
      <c r="C18">
        <v>1</v>
      </c>
      <c r="D18" t="s">
        <v>13</v>
      </c>
      <c r="E18">
        <v>1</v>
      </c>
      <c r="F18">
        <v>0.85483870967741937</v>
      </c>
      <c r="G18">
        <v>5</v>
      </c>
      <c r="H18">
        <v>1</v>
      </c>
      <c r="I18" t="s">
        <v>121</v>
      </c>
      <c r="J18" t="s">
        <v>122</v>
      </c>
      <c r="K18">
        <v>2</v>
      </c>
      <c r="L18" t="s">
        <v>73</v>
      </c>
      <c r="M18" t="s">
        <v>123</v>
      </c>
      <c r="N18" t="s">
        <v>120</v>
      </c>
      <c r="O18" s="34">
        <v>46220.59097222222</v>
      </c>
      <c r="P18" s="7" t="s">
        <v>163</v>
      </c>
    </row>
    <row r="19" spans="1:16" x14ac:dyDescent="0.2">
      <c r="A19" t="s">
        <v>14</v>
      </c>
      <c r="B19" t="s">
        <v>12</v>
      </c>
      <c r="C19">
        <v>1</v>
      </c>
      <c r="D19" t="s">
        <v>15</v>
      </c>
      <c r="E19">
        <v>1</v>
      </c>
      <c r="F19">
        <v>0.85483870967741937</v>
      </c>
      <c r="G19">
        <v>4</v>
      </c>
      <c r="H19">
        <v>1</v>
      </c>
      <c r="I19" t="s">
        <v>124</v>
      </c>
      <c r="J19" t="s">
        <v>125</v>
      </c>
      <c r="K19">
        <v>3</v>
      </c>
      <c r="L19" t="s">
        <v>73</v>
      </c>
      <c r="M19" t="s">
        <v>126</v>
      </c>
      <c r="N19" t="s">
        <v>120</v>
      </c>
      <c r="O19" s="34">
        <v>46220.59097222222</v>
      </c>
      <c r="P19" s="7" t="s">
        <v>163</v>
      </c>
    </row>
    <row r="20" spans="1:16" x14ac:dyDescent="0.2">
      <c r="A20" t="s">
        <v>16</v>
      </c>
      <c r="B20" t="s">
        <v>17</v>
      </c>
      <c r="C20">
        <v>1</v>
      </c>
      <c r="D20" t="s">
        <v>18</v>
      </c>
      <c r="E20">
        <v>1</v>
      </c>
      <c r="F20">
        <v>0.84210526315789469</v>
      </c>
      <c r="G20">
        <v>5</v>
      </c>
      <c r="H20">
        <v>1</v>
      </c>
      <c r="I20" t="s">
        <v>127</v>
      </c>
      <c r="J20" t="s">
        <v>128</v>
      </c>
      <c r="K20">
        <v>4</v>
      </c>
      <c r="L20" t="s">
        <v>73</v>
      </c>
      <c r="M20" t="s">
        <v>129</v>
      </c>
      <c r="N20" t="s">
        <v>120</v>
      </c>
      <c r="O20" s="34">
        <v>46220.59097222222</v>
      </c>
      <c r="P20" s="7" t="s">
        <v>163</v>
      </c>
    </row>
    <row r="21" spans="1:16" x14ac:dyDescent="0.2">
      <c r="A21" t="s">
        <v>19</v>
      </c>
      <c r="B21" t="s">
        <v>20</v>
      </c>
      <c r="C21">
        <v>1</v>
      </c>
      <c r="D21" t="s">
        <v>21</v>
      </c>
      <c r="E21">
        <v>1</v>
      </c>
      <c r="F21">
        <v>0.8085106382978724</v>
      </c>
      <c r="G21">
        <v>2</v>
      </c>
      <c r="H21">
        <v>1</v>
      </c>
      <c r="I21" t="s">
        <v>130</v>
      </c>
      <c r="J21" t="s">
        <v>131</v>
      </c>
      <c r="K21">
        <v>5</v>
      </c>
      <c r="L21" t="s">
        <v>73</v>
      </c>
      <c r="M21" t="s">
        <v>132</v>
      </c>
      <c r="N21" t="s">
        <v>120</v>
      </c>
      <c r="O21" s="34">
        <v>46220.59097222222</v>
      </c>
      <c r="P21" s="7" t="s">
        <v>163</v>
      </c>
    </row>
    <row r="22" spans="1:16" x14ac:dyDescent="0.2">
      <c r="A22" t="s">
        <v>22</v>
      </c>
      <c r="B22" t="s">
        <v>23</v>
      </c>
      <c r="C22">
        <v>1</v>
      </c>
      <c r="D22" t="s">
        <v>24</v>
      </c>
      <c r="E22">
        <v>1</v>
      </c>
      <c r="F22">
        <v>0.85483870967741937</v>
      </c>
      <c r="G22">
        <v>4</v>
      </c>
      <c r="H22">
        <v>1</v>
      </c>
      <c r="I22" t="s">
        <v>133</v>
      </c>
      <c r="J22" t="s">
        <v>134</v>
      </c>
      <c r="K22">
        <v>6</v>
      </c>
      <c r="L22" t="s">
        <v>73</v>
      </c>
      <c r="M22" t="s">
        <v>135</v>
      </c>
      <c r="N22" t="s">
        <v>120</v>
      </c>
      <c r="O22" s="34">
        <v>46220.59097222222</v>
      </c>
      <c r="P22" s="7" t="s">
        <v>163</v>
      </c>
    </row>
    <row r="23" spans="1:16" x14ac:dyDescent="0.2">
      <c r="A23" t="s">
        <v>25</v>
      </c>
      <c r="B23" t="s">
        <v>26</v>
      </c>
      <c r="C23">
        <v>1</v>
      </c>
      <c r="D23" t="s">
        <v>27</v>
      </c>
      <c r="E23">
        <v>1</v>
      </c>
      <c r="F23">
        <v>0.8085106382978724</v>
      </c>
      <c r="G23">
        <v>5</v>
      </c>
      <c r="H23">
        <v>1</v>
      </c>
      <c r="I23" t="s">
        <v>136</v>
      </c>
      <c r="J23" t="s">
        <v>137</v>
      </c>
      <c r="K23">
        <v>7</v>
      </c>
      <c r="L23" t="s">
        <v>73</v>
      </c>
      <c r="M23" t="s">
        <v>138</v>
      </c>
      <c r="N23" t="s">
        <v>120</v>
      </c>
      <c r="O23" s="34">
        <v>46220.59097222222</v>
      </c>
      <c r="P23" s="7" t="s">
        <v>163</v>
      </c>
    </row>
    <row r="24" spans="1:16" x14ac:dyDescent="0.2">
      <c r="A24" t="s">
        <v>28</v>
      </c>
      <c r="B24" t="s">
        <v>29</v>
      </c>
      <c r="C24">
        <v>1</v>
      </c>
      <c r="D24" t="s">
        <v>30</v>
      </c>
      <c r="E24">
        <v>0</v>
      </c>
      <c r="F24">
        <v>0.49090909090909096</v>
      </c>
      <c r="G24">
        <v>5</v>
      </c>
      <c r="H24">
        <v>1</v>
      </c>
      <c r="I24" t="s">
        <v>139</v>
      </c>
      <c r="J24" t="s">
        <v>140</v>
      </c>
      <c r="K24">
        <v>8</v>
      </c>
      <c r="L24" t="s">
        <v>73</v>
      </c>
      <c r="M24" t="s">
        <v>141</v>
      </c>
      <c r="N24" t="s">
        <v>120</v>
      </c>
      <c r="O24" s="34">
        <v>46220.59097222222</v>
      </c>
      <c r="P24" s="7" t="s">
        <v>163</v>
      </c>
    </row>
    <row r="25" spans="1:16" x14ac:dyDescent="0.2">
      <c r="A25" t="s">
        <v>31</v>
      </c>
      <c r="B25" t="s">
        <v>32</v>
      </c>
      <c r="C25">
        <v>2</v>
      </c>
      <c r="D25" t="s">
        <v>33</v>
      </c>
      <c r="E25">
        <v>1</v>
      </c>
      <c r="F25">
        <v>0.2990654205607477</v>
      </c>
      <c r="G25">
        <v>4</v>
      </c>
      <c r="H25">
        <v>1</v>
      </c>
      <c r="I25" t="s">
        <v>142</v>
      </c>
      <c r="J25" t="s">
        <v>143</v>
      </c>
      <c r="K25">
        <v>9</v>
      </c>
      <c r="L25" t="s">
        <v>73</v>
      </c>
      <c r="M25" t="s">
        <v>144</v>
      </c>
      <c r="N25" t="s">
        <v>120</v>
      </c>
      <c r="O25" s="34">
        <v>46220.59097222222</v>
      </c>
      <c r="P25" s="7" t="s">
        <v>163</v>
      </c>
    </row>
    <row r="26" spans="1:16" x14ac:dyDescent="0.2">
      <c r="A26" t="s">
        <v>34</v>
      </c>
      <c r="B26" t="s">
        <v>32</v>
      </c>
      <c r="C26">
        <v>2</v>
      </c>
      <c r="D26" t="s">
        <v>35</v>
      </c>
      <c r="E26">
        <v>1</v>
      </c>
      <c r="F26">
        <v>0.81720430107526876</v>
      </c>
      <c r="G26">
        <v>3</v>
      </c>
      <c r="H26">
        <v>1</v>
      </c>
      <c r="I26" t="s">
        <v>145</v>
      </c>
      <c r="J26" t="s">
        <v>146</v>
      </c>
      <c r="K26">
        <v>10</v>
      </c>
      <c r="L26" t="s">
        <v>73</v>
      </c>
      <c r="M26" t="s">
        <v>147</v>
      </c>
      <c r="N26" t="s">
        <v>120</v>
      </c>
      <c r="O26" s="34">
        <v>46220.59097222222</v>
      </c>
      <c r="P26" s="7" t="s">
        <v>163</v>
      </c>
    </row>
    <row r="27" spans="1:16" x14ac:dyDescent="0.2">
      <c r="A27" t="s">
        <v>36</v>
      </c>
      <c r="B27" t="s">
        <v>37</v>
      </c>
      <c r="C27">
        <v>2</v>
      </c>
      <c r="D27" t="s">
        <v>38</v>
      </c>
      <c r="E27">
        <v>1</v>
      </c>
      <c r="F27">
        <v>0.82291666666666663</v>
      </c>
      <c r="G27">
        <v>3</v>
      </c>
      <c r="H27">
        <v>1</v>
      </c>
      <c r="I27" t="s">
        <v>148</v>
      </c>
      <c r="J27" t="s">
        <v>149</v>
      </c>
      <c r="K27">
        <v>11</v>
      </c>
      <c r="L27" t="s">
        <v>73</v>
      </c>
      <c r="M27" t="s">
        <v>150</v>
      </c>
      <c r="N27" t="s">
        <v>120</v>
      </c>
      <c r="O27" s="34">
        <v>46220.59097222222</v>
      </c>
      <c r="P27" s="7" t="s">
        <v>163</v>
      </c>
    </row>
    <row r="28" spans="1:16" x14ac:dyDescent="0.2">
      <c r="A28" t="s">
        <v>39</v>
      </c>
      <c r="B28" t="s">
        <v>40</v>
      </c>
      <c r="C28">
        <v>2</v>
      </c>
      <c r="D28" t="s">
        <v>41</v>
      </c>
      <c r="E28">
        <v>1</v>
      </c>
      <c r="F28">
        <v>0.85593220338983045</v>
      </c>
      <c r="G28">
        <v>4</v>
      </c>
      <c r="H28">
        <v>1</v>
      </c>
      <c r="I28" t="s">
        <v>151</v>
      </c>
      <c r="J28" t="s">
        <v>152</v>
      </c>
      <c r="K28">
        <v>12</v>
      </c>
      <c r="L28" t="s">
        <v>73</v>
      </c>
      <c r="M28" t="s">
        <v>153</v>
      </c>
      <c r="N28" t="s">
        <v>120</v>
      </c>
      <c r="O28" s="34">
        <v>46220.59097222222</v>
      </c>
      <c r="P28" s="7" t="s">
        <v>163</v>
      </c>
    </row>
    <row r="29" spans="1:16" x14ac:dyDescent="0.2">
      <c r="A29" t="s">
        <v>42</v>
      </c>
      <c r="B29" t="s">
        <v>43</v>
      </c>
      <c r="C29">
        <v>0</v>
      </c>
      <c r="D29" t="s">
        <v>60</v>
      </c>
      <c r="E29">
        <v>1</v>
      </c>
      <c r="F29">
        <v>0</v>
      </c>
      <c r="G29">
        <v>3</v>
      </c>
      <c r="H29">
        <v>0</v>
      </c>
      <c r="I29" t="s">
        <v>154</v>
      </c>
      <c r="J29" t="s">
        <v>155</v>
      </c>
      <c r="K29">
        <v>13</v>
      </c>
      <c r="L29" t="s">
        <v>73</v>
      </c>
      <c r="M29" t="s">
        <v>156</v>
      </c>
      <c r="N29" t="s">
        <v>120</v>
      </c>
      <c r="O29" s="34">
        <v>46220.59097222222</v>
      </c>
      <c r="P29" s="7" t="s">
        <v>163</v>
      </c>
    </row>
    <row r="30" spans="1:16" x14ac:dyDescent="0.2">
      <c r="A30" t="s">
        <v>45</v>
      </c>
      <c r="B30" t="s">
        <v>43</v>
      </c>
      <c r="C30">
        <v>0</v>
      </c>
      <c r="D30" t="s">
        <v>60</v>
      </c>
      <c r="E30">
        <v>1</v>
      </c>
      <c r="F30">
        <v>0</v>
      </c>
      <c r="G30">
        <v>4</v>
      </c>
      <c r="H30">
        <v>0</v>
      </c>
      <c r="I30" t="s">
        <v>157</v>
      </c>
      <c r="J30" t="s">
        <v>158</v>
      </c>
      <c r="K30">
        <v>14</v>
      </c>
      <c r="L30" t="s">
        <v>73</v>
      </c>
      <c r="M30" t="s">
        <v>159</v>
      </c>
      <c r="N30" t="s">
        <v>120</v>
      </c>
      <c r="O30" s="34">
        <v>46220.59097222222</v>
      </c>
      <c r="P30" s="7" t="s">
        <v>163</v>
      </c>
    </row>
    <row r="31" spans="1:16" x14ac:dyDescent="0.2">
      <c r="A31" t="s">
        <v>48</v>
      </c>
      <c r="B31" t="s">
        <v>26</v>
      </c>
      <c r="C31">
        <v>1</v>
      </c>
      <c r="D31" t="s">
        <v>49</v>
      </c>
      <c r="E31">
        <v>1</v>
      </c>
      <c r="F31">
        <v>0.8085106382978724</v>
      </c>
      <c r="G31">
        <v>4</v>
      </c>
      <c r="H31">
        <v>1</v>
      </c>
      <c r="I31" t="s">
        <v>160</v>
      </c>
      <c r="J31" t="s">
        <v>161</v>
      </c>
      <c r="K31">
        <v>15</v>
      </c>
      <c r="L31" t="s">
        <v>73</v>
      </c>
      <c r="M31" t="s">
        <v>162</v>
      </c>
      <c r="N31" t="s">
        <v>120</v>
      </c>
      <c r="O31" s="34">
        <v>46220.59097222222</v>
      </c>
      <c r="P31" s="7" t="s">
        <v>163</v>
      </c>
    </row>
    <row r="32" spans="1:16" x14ac:dyDescent="0.2">
      <c r="A32" t="s">
        <v>8</v>
      </c>
      <c r="B32" t="s">
        <v>9</v>
      </c>
      <c r="C32">
        <v>1</v>
      </c>
      <c r="D32" t="s">
        <v>10</v>
      </c>
      <c r="E32">
        <v>1</v>
      </c>
      <c r="F32">
        <v>0.82000000000000006</v>
      </c>
      <c r="G32">
        <v>3</v>
      </c>
      <c r="H32">
        <v>1</v>
      </c>
      <c r="I32" t="s">
        <v>164</v>
      </c>
      <c r="J32" t="s">
        <v>165</v>
      </c>
      <c r="K32">
        <v>1</v>
      </c>
      <c r="L32" t="s">
        <v>73</v>
      </c>
      <c r="M32" t="s">
        <v>166</v>
      </c>
      <c r="N32" t="s">
        <v>167</v>
      </c>
      <c r="O32" s="34">
        <v>46220.634027777778</v>
      </c>
      <c r="P32" s="7" t="s">
        <v>208</v>
      </c>
    </row>
    <row r="33" spans="1:16" x14ac:dyDescent="0.2">
      <c r="A33" t="s">
        <v>11</v>
      </c>
      <c r="B33" t="s">
        <v>12</v>
      </c>
      <c r="C33">
        <v>1</v>
      </c>
      <c r="D33" t="s">
        <v>13</v>
      </c>
      <c r="E33">
        <v>1</v>
      </c>
      <c r="F33">
        <v>0.85483870967741937</v>
      </c>
      <c r="G33">
        <v>5</v>
      </c>
      <c r="H33">
        <v>0</v>
      </c>
      <c r="I33" t="s">
        <v>168</v>
      </c>
      <c r="J33" t="s">
        <v>169</v>
      </c>
      <c r="K33">
        <v>2</v>
      </c>
      <c r="L33" t="s">
        <v>73</v>
      </c>
      <c r="M33" t="s">
        <v>170</v>
      </c>
      <c r="N33" t="s">
        <v>167</v>
      </c>
      <c r="O33" s="34">
        <v>46220.634027777778</v>
      </c>
      <c r="P33" s="7" t="s">
        <v>208</v>
      </c>
    </row>
    <row r="34" spans="1:16" x14ac:dyDescent="0.2">
      <c r="A34" t="s">
        <v>14</v>
      </c>
      <c r="B34" t="s">
        <v>12</v>
      </c>
      <c r="C34">
        <v>1</v>
      </c>
      <c r="D34" t="s">
        <v>15</v>
      </c>
      <c r="E34">
        <v>1</v>
      </c>
      <c r="F34">
        <v>0.85483870967741937</v>
      </c>
      <c r="G34">
        <v>4</v>
      </c>
      <c r="H34">
        <v>1</v>
      </c>
      <c r="I34" t="s">
        <v>171</v>
      </c>
      <c r="J34" t="s">
        <v>172</v>
      </c>
      <c r="K34">
        <v>3</v>
      </c>
      <c r="L34" t="s">
        <v>73</v>
      </c>
      <c r="M34" t="s">
        <v>173</v>
      </c>
      <c r="N34" t="s">
        <v>167</v>
      </c>
      <c r="O34" s="34">
        <v>46220.634027777778</v>
      </c>
      <c r="P34" s="7" t="s">
        <v>208</v>
      </c>
    </row>
    <row r="35" spans="1:16" x14ac:dyDescent="0.2">
      <c r="A35" t="s">
        <v>16</v>
      </c>
      <c r="B35" t="s">
        <v>17</v>
      </c>
      <c r="C35">
        <v>1</v>
      </c>
      <c r="D35" t="s">
        <v>18</v>
      </c>
      <c r="E35">
        <v>1</v>
      </c>
      <c r="F35">
        <v>0.84210526315789469</v>
      </c>
      <c r="G35">
        <v>5</v>
      </c>
      <c r="H35">
        <v>1</v>
      </c>
      <c r="I35" t="s">
        <v>174</v>
      </c>
      <c r="J35" t="s">
        <v>175</v>
      </c>
      <c r="K35">
        <v>4</v>
      </c>
      <c r="L35" t="s">
        <v>73</v>
      </c>
      <c r="M35" t="s">
        <v>176</v>
      </c>
      <c r="N35" t="s">
        <v>167</v>
      </c>
      <c r="O35" s="34">
        <v>46220.634027777778</v>
      </c>
      <c r="P35" s="7" t="s">
        <v>208</v>
      </c>
    </row>
    <row r="36" spans="1:16" x14ac:dyDescent="0.2">
      <c r="A36" t="s">
        <v>19</v>
      </c>
      <c r="B36" t="s">
        <v>20</v>
      </c>
      <c r="C36">
        <v>1</v>
      </c>
      <c r="D36" t="s">
        <v>21</v>
      </c>
      <c r="E36">
        <v>1</v>
      </c>
      <c r="F36">
        <v>0.8085106382978724</v>
      </c>
      <c r="G36">
        <v>5</v>
      </c>
      <c r="H36">
        <v>1</v>
      </c>
      <c r="I36" t="s">
        <v>177</v>
      </c>
      <c r="J36" t="s">
        <v>178</v>
      </c>
      <c r="K36">
        <v>5</v>
      </c>
      <c r="L36" t="s">
        <v>73</v>
      </c>
      <c r="M36" t="s">
        <v>179</v>
      </c>
      <c r="N36" t="s">
        <v>167</v>
      </c>
      <c r="O36" s="34">
        <v>46220.634027777778</v>
      </c>
      <c r="P36" s="7" t="s">
        <v>208</v>
      </c>
    </row>
    <row r="37" spans="1:16" x14ac:dyDescent="0.2">
      <c r="A37" t="s">
        <v>22</v>
      </c>
      <c r="B37" t="s">
        <v>23</v>
      </c>
      <c r="C37">
        <v>1</v>
      </c>
      <c r="D37" t="s">
        <v>24</v>
      </c>
      <c r="E37">
        <v>1</v>
      </c>
      <c r="F37">
        <v>0.85483870967741937</v>
      </c>
      <c r="G37">
        <v>4</v>
      </c>
      <c r="H37">
        <v>1</v>
      </c>
      <c r="I37" t="s">
        <v>180</v>
      </c>
      <c r="J37" t="s">
        <v>181</v>
      </c>
      <c r="K37">
        <v>6</v>
      </c>
      <c r="L37" t="s">
        <v>73</v>
      </c>
      <c r="M37" t="s">
        <v>182</v>
      </c>
      <c r="N37" t="s">
        <v>167</v>
      </c>
      <c r="O37" s="34">
        <v>46220.634027777778</v>
      </c>
      <c r="P37" s="7" t="s">
        <v>208</v>
      </c>
    </row>
    <row r="38" spans="1:16" x14ac:dyDescent="0.2">
      <c r="A38" t="s">
        <v>25</v>
      </c>
      <c r="B38" t="s">
        <v>26</v>
      </c>
      <c r="C38">
        <v>1</v>
      </c>
      <c r="D38" t="s">
        <v>27</v>
      </c>
      <c r="E38">
        <v>0</v>
      </c>
      <c r="F38">
        <v>0.39583333333333337</v>
      </c>
      <c r="G38">
        <v>5</v>
      </c>
      <c r="H38">
        <v>1</v>
      </c>
      <c r="I38" t="s">
        <v>183</v>
      </c>
      <c r="J38" t="s">
        <v>184</v>
      </c>
      <c r="K38">
        <v>7</v>
      </c>
      <c r="L38" t="s">
        <v>73</v>
      </c>
      <c r="M38" t="s">
        <v>185</v>
      </c>
      <c r="N38" t="s">
        <v>167</v>
      </c>
      <c r="O38" s="34">
        <v>46220.634027777778</v>
      </c>
      <c r="P38" s="7" t="s">
        <v>208</v>
      </c>
    </row>
    <row r="39" spans="1:16" x14ac:dyDescent="0.2">
      <c r="A39" t="s">
        <v>28</v>
      </c>
      <c r="B39" t="s">
        <v>29</v>
      </c>
      <c r="C39">
        <v>1</v>
      </c>
      <c r="D39" t="s">
        <v>30</v>
      </c>
      <c r="E39">
        <v>1</v>
      </c>
      <c r="F39">
        <v>0.85714285714285721</v>
      </c>
      <c r="G39">
        <v>5</v>
      </c>
      <c r="H39">
        <v>1</v>
      </c>
      <c r="I39" t="s">
        <v>186</v>
      </c>
      <c r="J39" t="s">
        <v>187</v>
      </c>
      <c r="K39">
        <v>8</v>
      </c>
      <c r="L39" t="s">
        <v>73</v>
      </c>
      <c r="M39" t="s">
        <v>188</v>
      </c>
      <c r="N39" t="s">
        <v>167</v>
      </c>
      <c r="O39" s="34">
        <v>46220.634027777778</v>
      </c>
      <c r="P39" s="7" t="s">
        <v>208</v>
      </c>
    </row>
    <row r="40" spans="1:16" x14ac:dyDescent="0.2">
      <c r="A40" t="s">
        <v>31</v>
      </c>
      <c r="B40" t="s">
        <v>32</v>
      </c>
      <c r="C40">
        <v>2</v>
      </c>
      <c r="D40" t="s">
        <v>33</v>
      </c>
      <c r="E40">
        <v>1</v>
      </c>
      <c r="F40">
        <v>0.81720430107526876</v>
      </c>
      <c r="G40">
        <v>5</v>
      </c>
      <c r="H40">
        <v>1</v>
      </c>
      <c r="I40" t="s">
        <v>189</v>
      </c>
      <c r="J40" t="s">
        <v>190</v>
      </c>
      <c r="K40">
        <v>9</v>
      </c>
      <c r="L40" t="s">
        <v>73</v>
      </c>
      <c r="M40" t="s">
        <v>191</v>
      </c>
      <c r="N40" t="s">
        <v>167</v>
      </c>
      <c r="O40" s="34">
        <v>46220.634027777778</v>
      </c>
      <c r="P40" s="7" t="s">
        <v>208</v>
      </c>
    </row>
    <row r="41" spans="1:16" x14ac:dyDescent="0.2">
      <c r="A41" t="s">
        <v>34</v>
      </c>
      <c r="B41" t="s">
        <v>32</v>
      </c>
      <c r="C41">
        <v>2</v>
      </c>
      <c r="D41" t="s">
        <v>35</v>
      </c>
      <c r="E41">
        <v>1</v>
      </c>
      <c r="F41">
        <v>0.81720430107526876</v>
      </c>
      <c r="G41">
        <v>3</v>
      </c>
      <c r="H41">
        <v>1</v>
      </c>
      <c r="I41" t="s">
        <v>192</v>
      </c>
      <c r="J41" t="s">
        <v>193</v>
      </c>
      <c r="K41">
        <v>10</v>
      </c>
      <c r="L41" t="s">
        <v>73</v>
      </c>
      <c r="M41" t="s">
        <v>194</v>
      </c>
      <c r="N41" t="s">
        <v>167</v>
      </c>
      <c r="O41" s="34">
        <v>46220.634027777778</v>
      </c>
      <c r="P41" s="7" t="s">
        <v>208</v>
      </c>
    </row>
    <row r="42" spans="1:16" x14ac:dyDescent="0.2">
      <c r="A42" t="s">
        <v>36</v>
      </c>
      <c r="B42" t="s">
        <v>37</v>
      </c>
      <c r="C42">
        <v>2</v>
      </c>
      <c r="D42" t="s">
        <v>38</v>
      </c>
      <c r="E42">
        <v>1</v>
      </c>
      <c r="F42">
        <v>0.82291666666666663</v>
      </c>
      <c r="G42">
        <v>4</v>
      </c>
      <c r="H42">
        <v>1</v>
      </c>
      <c r="I42" t="s">
        <v>195</v>
      </c>
      <c r="J42" t="s">
        <v>196</v>
      </c>
      <c r="K42">
        <v>11</v>
      </c>
      <c r="L42" t="s">
        <v>73</v>
      </c>
      <c r="M42" t="s">
        <v>197</v>
      </c>
      <c r="N42" t="s">
        <v>167</v>
      </c>
      <c r="O42" s="34">
        <v>46220.634027777778</v>
      </c>
      <c r="P42" s="7" t="s">
        <v>208</v>
      </c>
    </row>
    <row r="43" spans="1:16" x14ac:dyDescent="0.2">
      <c r="A43" t="s">
        <v>39</v>
      </c>
      <c r="B43" t="s">
        <v>40</v>
      </c>
      <c r="C43">
        <v>2</v>
      </c>
      <c r="D43" t="s">
        <v>41</v>
      </c>
      <c r="E43">
        <v>1</v>
      </c>
      <c r="F43">
        <v>0.85593220338983045</v>
      </c>
      <c r="G43">
        <v>4</v>
      </c>
      <c r="H43">
        <v>1</v>
      </c>
      <c r="I43" t="s">
        <v>198</v>
      </c>
      <c r="J43" t="s">
        <v>199</v>
      </c>
      <c r="K43">
        <v>12</v>
      </c>
      <c r="L43" t="s">
        <v>73</v>
      </c>
      <c r="M43" t="s">
        <v>200</v>
      </c>
      <c r="N43" t="s">
        <v>167</v>
      </c>
      <c r="O43" s="34">
        <v>46220.634027777778</v>
      </c>
      <c r="P43" s="7" t="s">
        <v>208</v>
      </c>
    </row>
    <row r="44" spans="1:16" x14ac:dyDescent="0.2">
      <c r="A44" t="s">
        <v>42</v>
      </c>
      <c r="B44" t="s">
        <v>43</v>
      </c>
      <c r="C44">
        <v>0</v>
      </c>
      <c r="D44" t="s">
        <v>60</v>
      </c>
      <c r="E44">
        <v>1</v>
      </c>
      <c r="F44">
        <v>0</v>
      </c>
      <c r="G44">
        <v>4</v>
      </c>
      <c r="H44">
        <v>0</v>
      </c>
      <c r="I44" t="s">
        <v>201</v>
      </c>
      <c r="J44" t="s">
        <v>158</v>
      </c>
      <c r="K44">
        <v>13</v>
      </c>
      <c r="L44" t="s">
        <v>73</v>
      </c>
      <c r="M44" t="s">
        <v>202</v>
      </c>
      <c r="N44" t="s">
        <v>167</v>
      </c>
      <c r="O44" s="34">
        <v>46220.634027777778</v>
      </c>
      <c r="P44" s="7" t="s">
        <v>208</v>
      </c>
    </row>
    <row r="45" spans="1:16" x14ac:dyDescent="0.2">
      <c r="A45" t="s">
        <v>45</v>
      </c>
      <c r="B45" t="s">
        <v>43</v>
      </c>
      <c r="C45">
        <v>0</v>
      </c>
      <c r="D45" t="s">
        <v>60</v>
      </c>
      <c r="E45">
        <v>1</v>
      </c>
      <c r="F45">
        <v>0</v>
      </c>
      <c r="G45">
        <v>4</v>
      </c>
      <c r="H45">
        <v>0</v>
      </c>
      <c r="I45" t="s">
        <v>203</v>
      </c>
      <c r="J45" t="s">
        <v>158</v>
      </c>
      <c r="K45">
        <v>14</v>
      </c>
      <c r="L45" t="s">
        <v>73</v>
      </c>
      <c r="M45" t="s">
        <v>204</v>
      </c>
      <c r="N45" t="s">
        <v>167</v>
      </c>
      <c r="O45" s="34">
        <v>46220.634027777778</v>
      </c>
      <c r="P45" s="7" t="s">
        <v>208</v>
      </c>
    </row>
    <row r="46" spans="1:16" x14ac:dyDescent="0.2">
      <c r="A46" t="s">
        <v>48</v>
      </c>
      <c r="B46" t="s">
        <v>26</v>
      </c>
      <c r="C46">
        <v>1</v>
      </c>
      <c r="D46" t="s">
        <v>49</v>
      </c>
      <c r="E46">
        <v>1</v>
      </c>
      <c r="F46">
        <v>0.8085106382978724</v>
      </c>
      <c r="G46">
        <v>4</v>
      </c>
      <c r="H46">
        <v>1</v>
      </c>
      <c r="I46" t="s">
        <v>205</v>
      </c>
      <c r="J46" t="s">
        <v>206</v>
      </c>
      <c r="K46">
        <v>15</v>
      </c>
      <c r="L46" t="s">
        <v>73</v>
      </c>
      <c r="M46" t="s">
        <v>207</v>
      </c>
      <c r="N46" t="s">
        <v>167</v>
      </c>
      <c r="O46" s="34">
        <v>46220.634027777778</v>
      </c>
      <c r="P46" s="7" t="s">
        <v>208</v>
      </c>
    </row>
    <row r="47" spans="1:16" x14ac:dyDescent="0.2">
      <c r="A47" t="s">
        <v>8</v>
      </c>
      <c r="B47" t="s">
        <v>9</v>
      </c>
      <c r="C47">
        <v>1</v>
      </c>
      <c r="D47" t="s">
        <v>10</v>
      </c>
      <c r="E47">
        <v>1</v>
      </c>
      <c r="F47">
        <v>0.82000000000000006</v>
      </c>
      <c r="G47">
        <v>4</v>
      </c>
      <c r="H47">
        <v>1</v>
      </c>
      <c r="I47" t="s">
        <v>224</v>
      </c>
      <c r="J47" t="s">
        <v>225</v>
      </c>
      <c r="K47">
        <v>1</v>
      </c>
      <c r="L47" t="s">
        <v>73</v>
      </c>
      <c r="M47" t="s">
        <v>226</v>
      </c>
      <c r="N47" t="s">
        <v>227</v>
      </c>
      <c r="O47" s="34">
        <v>46220.672222222223</v>
      </c>
      <c r="P47" s="7" t="s">
        <v>267</v>
      </c>
    </row>
    <row r="48" spans="1:16" x14ac:dyDescent="0.2">
      <c r="A48" t="s">
        <v>11</v>
      </c>
      <c r="B48" t="s">
        <v>12</v>
      </c>
      <c r="C48">
        <v>1</v>
      </c>
      <c r="D48" t="s">
        <v>13</v>
      </c>
      <c r="E48">
        <v>1</v>
      </c>
      <c r="F48">
        <v>0.85483870967741937</v>
      </c>
      <c r="G48">
        <v>5</v>
      </c>
      <c r="H48">
        <v>1</v>
      </c>
      <c r="I48" t="s">
        <v>228</v>
      </c>
      <c r="J48" t="s">
        <v>229</v>
      </c>
      <c r="K48">
        <v>2</v>
      </c>
      <c r="L48" t="s">
        <v>73</v>
      </c>
      <c r="M48" t="s">
        <v>230</v>
      </c>
      <c r="N48" t="s">
        <v>227</v>
      </c>
      <c r="O48" s="34">
        <v>46220.672222222223</v>
      </c>
      <c r="P48" s="7" t="s">
        <v>267</v>
      </c>
    </row>
    <row r="49" spans="1:16" x14ac:dyDescent="0.2">
      <c r="A49" t="s">
        <v>14</v>
      </c>
      <c r="B49" t="s">
        <v>12</v>
      </c>
      <c r="C49">
        <v>1</v>
      </c>
      <c r="D49" t="s">
        <v>15</v>
      </c>
      <c r="E49">
        <v>1</v>
      </c>
      <c r="F49">
        <v>0.85483870967741937</v>
      </c>
      <c r="G49">
        <v>4</v>
      </c>
      <c r="H49">
        <v>1</v>
      </c>
      <c r="I49" t="s">
        <v>231</v>
      </c>
      <c r="J49" t="s">
        <v>232</v>
      </c>
      <c r="K49">
        <v>3</v>
      </c>
      <c r="L49" t="s">
        <v>73</v>
      </c>
      <c r="M49" t="s">
        <v>233</v>
      </c>
      <c r="N49" t="s">
        <v>227</v>
      </c>
      <c r="O49" s="34">
        <v>46220.672222222223</v>
      </c>
      <c r="P49" s="7" t="s">
        <v>267</v>
      </c>
    </row>
    <row r="50" spans="1:16" x14ac:dyDescent="0.2">
      <c r="A50" t="s">
        <v>16</v>
      </c>
      <c r="B50" t="s">
        <v>17</v>
      </c>
      <c r="C50">
        <v>1</v>
      </c>
      <c r="D50" t="s">
        <v>18</v>
      </c>
      <c r="E50">
        <v>0</v>
      </c>
      <c r="F50">
        <v>0</v>
      </c>
      <c r="G50">
        <v>1</v>
      </c>
      <c r="H50">
        <v>1</v>
      </c>
      <c r="I50" t="s">
        <v>234</v>
      </c>
      <c r="J50" t="s">
        <v>235</v>
      </c>
      <c r="K50">
        <v>4</v>
      </c>
      <c r="L50" t="s">
        <v>73</v>
      </c>
      <c r="M50" t="s">
        <v>236</v>
      </c>
      <c r="N50" t="s">
        <v>227</v>
      </c>
      <c r="O50" s="34">
        <v>46220.672222222223</v>
      </c>
      <c r="P50" s="7" t="s">
        <v>267</v>
      </c>
    </row>
    <row r="51" spans="1:16" x14ac:dyDescent="0.2">
      <c r="A51" t="s">
        <v>19</v>
      </c>
      <c r="B51" t="s">
        <v>20</v>
      </c>
      <c r="C51">
        <v>1</v>
      </c>
      <c r="D51" t="s">
        <v>21</v>
      </c>
      <c r="E51">
        <v>0</v>
      </c>
      <c r="F51">
        <v>0</v>
      </c>
      <c r="G51">
        <v>1</v>
      </c>
      <c r="H51">
        <v>0</v>
      </c>
      <c r="I51" t="s">
        <v>237</v>
      </c>
      <c r="J51" t="s">
        <v>238</v>
      </c>
      <c r="K51">
        <v>5</v>
      </c>
      <c r="L51" t="s">
        <v>73</v>
      </c>
      <c r="M51" t="s">
        <v>239</v>
      </c>
      <c r="N51" t="s">
        <v>227</v>
      </c>
      <c r="O51" s="34">
        <v>46220.672222222223</v>
      </c>
      <c r="P51" s="7" t="s">
        <v>267</v>
      </c>
    </row>
    <row r="52" spans="1:16" x14ac:dyDescent="0.2">
      <c r="A52" t="s">
        <v>22</v>
      </c>
      <c r="B52" t="s">
        <v>23</v>
      </c>
      <c r="C52">
        <v>1</v>
      </c>
      <c r="D52" t="s">
        <v>24</v>
      </c>
      <c r="E52">
        <v>0</v>
      </c>
      <c r="F52">
        <v>0</v>
      </c>
      <c r="G52">
        <v>1</v>
      </c>
      <c r="H52">
        <v>1</v>
      </c>
      <c r="I52" t="s">
        <v>240</v>
      </c>
      <c r="J52" t="s">
        <v>241</v>
      </c>
      <c r="K52">
        <v>6</v>
      </c>
      <c r="L52" t="s">
        <v>73</v>
      </c>
      <c r="M52" t="s">
        <v>242</v>
      </c>
      <c r="N52" t="s">
        <v>227</v>
      </c>
      <c r="O52" s="34">
        <v>46220.672222222223</v>
      </c>
      <c r="P52" s="7" t="s">
        <v>267</v>
      </c>
    </row>
    <row r="53" spans="1:16" x14ac:dyDescent="0.2">
      <c r="A53" t="s">
        <v>25</v>
      </c>
      <c r="B53" t="s">
        <v>26</v>
      </c>
      <c r="C53">
        <v>1</v>
      </c>
      <c r="D53" t="s">
        <v>27</v>
      </c>
      <c r="E53">
        <v>0</v>
      </c>
      <c r="F53">
        <v>0.26760563380281688</v>
      </c>
      <c r="G53">
        <v>4</v>
      </c>
      <c r="H53">
        <v>0</v>
      </c>
      <c r="I53" t="s">
        <v>243</v>
      </c>
      <c r="J53" t="s">
        <v>244</v>
      </c>
      <c r="K53">
        <v>7</v>
      </c>
      <c r="L53" t="s">
        <v>73</v>
      </c>
      <c r="M53" t="s">
        <v>245</v>
      </c>
      <c r="N53" t="s">
        <v>227</v>
      </c>
      <c r="O53" s="34">
        <v>46220.672222222223</v>
      </c>
      <c r="P53" s="7" t="s">
        <v>267</v>
      </c>
    </row>
    <row r="54" spans="1:16" x14ac:dyDescent="0.2">
      <c r="A54" t="s">
        <v>28</v>
      </c>
      <c r="B54" t="s">
        <v>29</v>
      </c>
      <c r="C54">
        <v>1</v>
      </c>
      <c r="D54" t="s">
        <v>30</v>
      </c>
      <c r="E54">
        <v>1</v>
      </c>
      <c r="F54">
        <v>0.85714285714285721</v>
      </c>
      <c r="G54">
        <v>4</v>
      </c>
      <c r="H54">
        <v>1</v>
      </c>
      <c r="I54" t="s">
        <v>246</v>
      </c>
      <c r="J54" t="s">
        <v>247</v>
      </c>
      <c r="K54">
        <v>8</v>
      </c>
      <c r="L54" t="s">
        <v>73</v>
      </c>
      <c r="M54" t="s">
        <v>248</v>
      </c>
      <c r="N54" t="s">
        <v>227</v>
      </c>
      <c r="O54" s="34">
        <v>46220.672222222223</v>
      </c>
      <c r="P54" s="7" t="s">
        <v>267</v>
      </c>
    </row>
    <row r="55" spans="1:16" x14ac:dyDescent="0.2">
      <c r="A55" t="s">
        <v>31</v>
      </c>
      <c r="B55" t="s">
        <v>32</v>
      </c>
      <c r="C55">
        <v>2</v>
      </c>
      <c r="D55" t="s">
        <v>33</v>
      </c>
      <c r="E55">
        <v>0</v>
      </c>
      <c r="F55">
        <v>0.39506172839506171</v>
      </c>
      <c r="G55">
        <v>2</v>
      </c>
      <c r="H55">
        <v>1</v>
      </c>
      <c r="I55" t="s">
        <v>249</v>
      </c>
      <c r="J55" t="s">
        <v>250</v>
      </c>
      <c r="K55">
        <v>9</v>
      </c>
      <c r="L55" t="s">
        <v>73</v>
      </c>
      <c r="M55" t="s">
        <v>251</v>
      </c>
      <c r="N55" t="s">
        <v>227</v>
      </c>
      <c r="O55" s="34">
        <v>46220.672222222223</v>
      </c>
      <c r="P55" s="7" t="s">
        <v>267</v>
      </c>
    </row>
    <row r="56" spans="1:16" x14ac:dyDescent="0.2">
      <c r="A56" t="s">
        <v>34</v>
      </c>
      <c r="B56" t="s">
        <v>32</v>
      </c>
      <c r="C56">
        <v>2</v>
      </c>
      <c r="D56" t="s">
        <v>35</v>
      </c>
      <c r="E56">
        <v>0</v>
      </c>
      <c r="F56">
        <v>0</v>
      </c>
      <c r="G56">
        <v>1</v>
      </c>
      <c r="H56">
        <v>1</v>
      </c>
      <c r="I56" t="s">
        <v>252</v>
      </c>
      <c r="J56" t="s">
        <v>238</v>
      </c>
      <c r="K56">
        <v>10</v>
      </c>
      <c r="L56" t="s">
        <v>73</v>
      </c>
      <c r="M56" t="s">
        <v>253</v>
      </c>
      <c r="N56" t="s">
        <v>227</v>
      </c>
      <c r="O56" s="34">
        <v>46220.672222222223</v>
      </c>
      <c r="P56" s="7" t="s">
        <v>267</v>
      </c>
    </row>
    <row r="57" spans="1:16" x14ac:dyDescent="0.2">
      <c r="A57" t="s">
        <v>36</v>
      </c>
      <c r="B57" t="s">
        <v>37</v>
      </c>
      <c r="C57">
        <v>2</v>
      </c>
      <c r="D57" t="s">
        <v>38</v>
      </c>
      <c r="E57">
        <v>1</v>
      </c>
      <c r="F57">
        <v>0.82291666666666663</v>
      </c>
      <c r="G57">
        <v>4</v>
      </c>
      <c r="H57">
        <v>1</v>
      </c>
      <c r="I57" t="s">
        <v>254</v>
      </c>
      <c r="J57" t="s">
        <v>255</v>
      </c>
      <c r="K57">
        <v>11</v>
      </c>
      <c r="L57" t="s">
        <v>73</v>
      </c>
      <c r="M57" t="s">
        <v>256</v>
      </c>
      <c r="N57" t="s">
        <v>227</v>
      </c>
      <c r="O57" s="34">
        <v>46220.672222222223</v>
      </c>
      <c r="P57" s="7" t="s">
        <v>267</v>
      </c>
    </row>
    <row r="58" spans="1:16" x14ac:dyDescent="0.2">
      <c r="A58" t="s">
        <v>39</v>
      </c>
      <c r="B58" t="s">
        <v>40</v>
      </c>
      <c r="C58">
        <v>2</v>
      </c>
      <c r="D58" t="s">
        <v>41</v>
      </c>
      <c r="E58">
        <v>0</v>
      </c>
      <c r="F58">
        <v>0</v>
      </c>
      <c r="G58">
        <v>1</v>
      </c>
      <c r="H58">
        <v>0</v>
      </c>
      <c r="I58" t="s">
        <v>257</v>
      </c>
      <c r="J58" t="s">
        <v>235</v>
      </c>
      <c r="K58">
        <v>12</v>
      </c>
      <c r="L58" t="s">
        <v>73</v>
      </c>
      <c r="M58" t="s">
        <v>258</v>
      </c>
      <c r="N58" t="s">
        <v>227</v>
      </c>
      <c r="O58" s="34">
        <v>46220.672222222223</v>
      </c>
      <c r="P58" s="7" t="s">
        <v>267</v>
      </c>
    </row>
    <row r="59" spans="1:16" x14ac:dyDescent="0.2">
      <c r="A59" t="s">
        <v>42</v>
      </c>
      <c r="B59" t="s">
        <v>43</v>
      </c>
      <c r="C59">
        <v>0</v>
      </c>
      <c r="D59" t="s">
        <v>60</v>
      </c>
      <c r="E59">
        <v>1</v>
      </c>
      <c r="F59">
        <v>0</v>
      </c>
      <c r="G59">
        <v>1</v>
      </c>
      <c r="H59">
        <v>0</v>
      </c>
      <c r="I59" t="s">
        <v>259</v>
      </c>
      <c r="J59" t="s">
        <v>260</v>
      </c>
      <c r="K59">
        <v>13</v>
      </c>
      <c r="L59" t="s">
        <v>73</v>
      </c>
      <c r="M59" t="s">
        <v>261</v>
      </c>
      <c r="N59" t="s">
        <v>227</v>
      </c>
      <c r="O59" s="34">
        <v>46220.672222222223</v>
      </c>
      <c r="P59" s="7" t="s">
        <v>267</v>
      </c>
    </row>
    <row r="60" spans="1:16" x14ac:dyDescent="0.2">
      <c r="A60" t="s">
        <v>45</v>
      </c>
      <c r="B60" t="s">
        <v>43</v>
      </c>
      <c r="C60">
        <v>0</v>
      </c>
      <c r="D60" t="s">
        <v>60</v>
      </c>
      <c r="E60">
        <v>1</v>
      </c>
      <c r="F60">
        <v>0</v>
      </c>
      <c r="G60">
        <v>1</v>
      </c>
      <c r="H60">
        <v>0</v>
      </c>
      <c r="I60" t="s">
        <v>262</v>
      </c>
      <c r="J60" t="s">
        <v>238</v>
      </c>
      <c r="K60">
        <v>14</v>
      </c>
      <c r="L60" t="s">
        <v>73</v>
      </c>
      <c r="M60" t="s">
        <v>263</v>
      </c>
      <c r="N60" t="s">
        <v>227</v>
      </c>
      <c r="O60" s="34">
        <v>46220.672222222223</v>
      </c>
      <c r="P60" s="7" t="s">
        <v>267</v>
      </c>
    </row>
    <row r="61" spans="1:16" x14ac:dyDescent="0.2">
      <c r="A61" t="s">
        <v>48</v>
      </c>
      <c r="B61" t="s">
        <v>26</v>
      </c>
      <c r="C61">
        <v>1</v>
      </c>
      <c r="D61" t="s">
        <v>49</v>
      </c>
      <c r="E61">
        <v>0</v>
      </c>
      <c r="F61">
        <v>0</v>
      </c>
      <c r="G61">
        <v>1</v>
      </c>
      <c r="H61">
        <v>1</v>
      </c>
      <c r="I61" t="s">
        <v>264</v>
      </c>
      <c r="J61" t="s">
        <v>265</v>
      </c>
      <c r="K61">
        <v>15</v>
      </c>
      <c r="L61" t="s">
        <v>73</v>
      </c>
      <c r="M61" t="s">
        <v>266</v>
      </c>
      <c r="N61" t="s">
        <v>227</v>
      </c>
      <c r="O61" s="34">
        <v>46220.672222222223</v>
      </c>
      <c r="P61" s="7" t="s">
        <v>267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703F8-82E6-7742-9A8A-2C884642C115}">
  <dimension ref="A1:K64"/>
  <sheetViews>
    <sheetView zoomScale="110" zoomScaleNormal="110" workbookViewId="0">
      <selection activeCell="D20" sqref="D20"/>
    </sheetView>
  </sheetViews>
  <sheetFormatPr baseColWidth="10" defaultColWidth="8.83203125" defaultRowHeight="16" x14ac:dyDescent="0.2"/>
  <cols>
    <col min="1" max="1" width="10.83203125" bestFit="1" customWidth="1"/>
    <col min="2" max="2" width="16.6640625" bestFit="1" customWidth="1"/>
    <col min="3" max="3" width="16.83203125" bestFit="1" customWidth="1"/>
    <col min="4" max="4" width="12.5" bestFit="1" customWidth="1"/>
    <col min="5" max="5" width="16.5" bestFit="1" customWidth="1"/>
    <col min="6" max="6" width="16" bestFit="1" customWidth="1"/>
    <col min="7" max="7" width="4.5" customWidth="1"/>
    <col min="8" max="8" width="22" customWidth="1"/>
    <col min="9" max="9" width="16.83203125" customWidth="1"/>
    <col min="10" max="10" width="14.83203125" customWidth="1"/>
    <col min="11" max="11" width="15" customWidth="1"/>
  </cols>
  <sheetData>
    <row r="1" spans="1:11" ht="40" customHeight="1" x14ac:dyDescent="0.2">
      <c r="A1" s="39" t="s">
        <v>50</v>
      </c>
      <c r="B1" s="39"/>
      <c r="C1" s="39"/>
      <c r="D1" s="39"/>
      <c r="E1" s="39"/>
      <c r="F1" s="39"/>
      <c r="G1" s="39"/>
      <c r="H1" s="39"/>
      <c r="I1" s="39"/>
      <c r="J1" s="39"/>
      <c r="K1" s="39"/>
    </row>
    <row r="2" spans="1:11" ht="18" customHeight="1" x14ac:dyDescent="0.2"/>
    <row r="3" spans="1:11" ht="18" customHeight="1" x14ac:dyDescent="0.2"/>
    <row r="4" spans="1:11" ht="18" customHeight="1" x14ac:dyDescent="0.2"/>
    <row r="5" spans="1:11" ht="18" customHeight="1" x14ac:dyDescent="0.2"/>
    <row r="6" spans="1:11" ht="18" customHeight="1" x14ac:dyDescent="0.2"/>
    <row r="7" spans="1:11" ht="18" customHeight="1" x14ac:dyDescent="0.2"/>
    <row r="8" spans="1:11" ht="18" customHeight="1" x14ac:dyDescent="0.2"/>
    <row r="9" spans="1:11" ht="18" customHeight="1" x14ac:dyDescent="0.2"/>
    <row r="10" spans="1:11" ht="18" customHeight="1" x14ac:dyDescent="0.2"/>
    <row r="11" spans="1:11" ht="18" customHeight="1" x14ac:dyDescent="0.2"/>
    <row r="12" spans="1:11" ht="18" customHeight="1" x14ac:dyDescent="0.2"/>
    <row r="13" spans="1:11" ht="18" customHeight="1" x14ac:dyDescent="0.2"/>
    <row r="16" spans="1:11" x14ac:dyDescent="0.2">
      <c r="A16" s="8" t="s">
        <v>70</v>
      </c>
      <c r="B16" t="s">
        <v>209</v>
      </c>
    </row>
    <row r="17" spans="1:11" x14ac:dyDescent="0.2">
      <c r="H17" s="40" t="s">
        <v>51</v>
      </c>
      <c r="I17" s="41"/>
      <c r="J17" s="41"/>
      <c r="K17" s="41"/>
    </row>
    <row r="18" spans="1:11" s="19" customFormat="1" ht="51" x14ac:dyDescent="0.2">
      <c r="A18" s="18" t="s">
        <v>210</v>
      </c>
      <c r="B18" s="20" t="s">
        <v>62</v>
      </c>
      <c r="C18" s="20" t="s">
        <v>212</v>
      </c>
      <c r="D18" s="20" t="s">
        <v>211</v>
      </c>
      <c r="E18" s="20" t="s">
        <v>213</v>
      </c>
      <c r="F18" s="20" t="s">
        <v>221</v>
      </c>
      <c r="H18" s="1" t="s">
        <v>52</v>
      </c>
      <c r="I18" s="1" t="s">
        <v>268</v>
      </c>
      <c r="J18" s="1" t="s">
        <v>54</v>
      </c>
      <c r="K18" s="1" t="s">
        <v>55</v>
      </c>
    </row>
    <row r="19" spans="1:11" x14ac:dyDescent="0.2">
      <c r="A19" s="9" t="s">
        <v>75</v>
      </c>
      <c r="B19" s="21">
        <v>0.8</v>
      </c>
      <c r="C19" s="21">
        <v>0.64826070746296571</v>
      </c>
      <c r="D19" s="21">
        <v>3.7333333333333334</v>
      </c>
      <c r="E19" s="21">
        <v>0.66666666666666663</v>
      </c>
      <c r="F19" s="35">
        <v>46218.249305555553</v>
      </c>
      <c r="H19" s="3" t="s">
        <v>56</v>
      </c>
      <c r="I19" s="13">
        <f>GETPIVOTDATA("Average of eval_source_count",$A$18)</f>
        <v>0.76666666666666672</v>
      </c>
      <c r="J19" s="16">
        <f>AVERAGE(Run_History[eval_source_count])</f>
        <v>0.76666666666666672</v>
      </c>
      <c r="K19" s="12">
        <f>(I19-J19)*100</f>
        <v>0</v>
      </c>
    </row>
    <row r="20" spans="1:11" x14ac:dyDescent="0.2">
      <c r="A20" s="9" t="s">
        <v>120</v>
      </c>
      <c r="B20" s="6">
        <v>0.8666666666666667</v>
      </c>
      <c r="C20" s="6">
        <v>0.63140814441039739</v>
      </c>
      <c r="D20" s="6">
        <v>3.8</v>
      </c>
      <c r="E20" s="6">
        <v>0.8666666666666667</v>
      </c>
      <c r="F20" s="35">
        <v>46220.59097222222</v>
      </c>
      <c r="H20" s="3" t="s">
        <v>214</v>
      </c>
      <c r="I20" s="13">
        <f>GETPIVOTDATA("Average of eval_source_match",$A$18)</f>
        <v>0.57462189024886345</v>
      </c>
      <c r="J20" s="5">
        <f>AVERAGE(Run_History[eval_source_match])</f>
        <v>0.57462189024886345</v>
      </c>
      <c r="K20" s="12">
        <f>(I20-J20)*100</f>
        <v>0</v>
      </c>
    </row>
    <row r="21" spans="1:11" x14ac:dyDescent="0.2">
      <c r="A21" s="9" t="s">
        <v>167</v>
      </c>
      <c r="B21" s="21">
        <v>0.93333333333333335</v>
      </c>
      <c r="C21" s="21">
        <v>0.69399175543127478</v>
      </c>
      <c r="D21" s="21">
        <v>4.2666666666666666</v>
      </c>
      <c r="E21" s="21">
        <v>0.8</v>
      </c>
      <c r="F21" s="35">
        <v>46220.634027777778</v>
      </c>
      <c r="H21" s="3" t="s">
        <v>216</v>
      </c>
      <c r="I21" s="15">
        <f>GETPIVOTDATA("Average of faithfulness_judge",$A$18)</f>
        <v>0.75</v>
      </c>
      <c r="J21" s="5">
        <f>AVERAGE(Run_History[faithfulness_judge])</f>
        <v>0.75</v>
      </c>
      <c r="K21" s="12">
        <f>(I21-J21)*100</f>
        <v>0</v>
      </c>
    </row>
    <row r="22" spans="1:11" x14ac:dyDescent="0.2">
      <c r="A22" s="9" t="s">
        <v>227</v>
      </c>
      <c r="B22" s="6">
        <v>0.46666666666666667</v>
      </c>
      <c r="C22" s="6">
        <v>0.3248269536908161</v>
      </c>
      <c r="D22" s="6">
        <v>2.3333333333333335</v>
      </c>
      <c r="E22" s="6">
        <v>0.66666666666666663</v>
      </c>
      <c r="F22" s="35">
        <v>46220.672222222223</v>
      </c>
      <c r="H22" s="3" t="s">
        <v>215</v>
      </c>
      <c r="I22" s="11">
        <f>GETPIVOTDATA("Average of scoring_judge",$A$18)</f>
        <v>3.5333333333333332</v>
      </c>
      <c r="J22" s="6">
        <f>AVERAGE(Run_History[scoring_judge])</f>
        <v>3.5333333333333332</v>
      </c>
      <c r="K22" s="12">
        <f t="shared" ref="K22" si="0">I22-J22</f>
        <v>0</v>
      </c>
    </row>
    <row r="23" spans="1:11" x14ac:dyDescent="0.2">
      <c r="A23" s="9" t="s">
        <v>61</v>
      </c>
      <c r="B23" s="21">
        <v>0.76666666666666672</v>
      </c>
      <c r="C23" s="21">
        <v>0.57462189024886345</v>
      </c>
      <c r="D23" s="21">
        <v>3.5333333333333332</v>
      </c>
      <c r="E23" s="21">
        <v>0.75</v>
      </c>
      <c r="F23" s="35">
        <v>46218.249305555553</v>
      </c>
      <c r="H23" s="3"/>
      <c r="I23" s="11"/>
      <c r="J23" s="6"/>
      <c r="K23" s="12"/>
    </row>
    <row r="24" spans="1:11" x14ac:dyDescent="0.2">
      <c r="B24" s="24"/>
      <c r="C24" s="24"/>
      <c r="D24" s="24"/>
      <c r="E24" s="24"/>
      <c r="F24" s="35"/>
      <c r="H24" s="14" t="s">
        <v>217</v>
      </c>
    </row>
    <row r="25" spans="1:11" x14ac:dyDescent="0.2">
      <c r="B25" s="24"/>
      <c r="C25" s="24"/>
      <c r="D25" s="24"/>
      <c r="E25" s="24"/>
      <c r="F25" s="35"/>
      <c r="H25" s="1" t="s">
        <v>57</v>
      </c>
      <c r="I25" s="1" t="s">
        <v>53</v>
      </c>
    </row>
    <row r="26" spans="1:11" x14ac:dyDescent="0.2">
      <c r="B26" s="24"/>
      <c r="C26" s="24"/>
      <c r="D26" s="24"/>
      <c r="E26" s="24"/>
      <c r="F26" s="35"/>
      <c r="H26" t="s">
        <v>58</v>
      </c>
      <c r="I26" s="4">
        <f>I22</f>
        <v>3.5333333333333332</v>
      </c>
    </row>
    <row r="27" spans="1:11" x14ac:dyDescent="0.2">
      <c r="B27" s="24"/>
      <c r="C27" s="24"/>
      <c r="D27" s="24"/>
      <c r="E27" s="24"/>
      <c r="F27" s="35"/>
      <c r="H27" t="s">
        <v>54</v>
      </c>
      <c r="I27" s="4">
        <f>J22</f>
        <v>3.5333333333333332</v>
      </c>
    </row>
    <row r="28" spans="1:11" x14ac:dyDescent="0.2">
      <c r="B28" s="24"/>
      <c r="C28" s="24"/>
      <c r="D28" s="24"/>
      <c r="E28" s="24"/>
      <c r="F28" s="35"/>
    </row>
    <row r="29" spans="1:11" x14ac:dyDescent="0.2">
      <c r="B29" s="24"/>
      <c r="C29" s="24"/>
      <c r="D29" s="24"/>
      <c r="E29" s="24"/>
      <c r="F29" s="35"/>
    </row>
    <row r="30" spans="1:11" x14ac:dyDescent="0.2">
      <c r="B30" s="24"/>
      <c r="C30" s="24"/>
      <c r="D30" s="24"/>
      <c r="E30" s="24"/>
      <c r="F30" s="35"/>
    </row>
    <row r="31" spans="1:11" x14ac:dyDescent="0.2">
      <c r="B31" s="24"/>
      <c r="C31" s="24"/>
      <c r="D31" s="24"/>
      <c r="E31" s="24"/>
      <c r="F31" s="23"/>
    </row>
    <row r="32" spans="1:11" x14ac:dyDescent="0.2">
      <c r="B32" s="24"/>
      <c r="C32" s="24"/>
      <c r="D32" s="24"/>
      <c r="E32" s="24"/>
      <c r="F32" s="23"/>
    </row>
    <row r="33" spans="2:6" x14ac:dyDescent="0.2">
      <c r="B33" s="24"/>
      <c r="C33" s="24"/>
      <c r="D33" s="24"/>
      <c r="E33" s="24"/>
      <c r="F33" s="23"/>
    </row>
    <row r="34" spans="2:6" x14ac:dyDescent="0.2">
      <c r="F34" s="23"/>
    </row>
    <row r="35" spans="2:6" x14ac:dyDescent="0.2">
      <c r="F35" s="23"/>
    </row>
    <row r="36" spans="2:6" x14ac:dyDescent="0.2">
      <c r="F36" s="23"/>
    </row>
    <row r="37" spans="2:6" x14ac:dyDescent="0.2">
      <c r="F37" s="23"/>
    </row>
    <row r="38" spans="2:6" x14ac:dyDescent="0.2">
      <c r="F38" s="23"/>
    </row>
    <row r="39" spans="2:6" x14ac:dyDescent="0.2">
      <c r="F39" s="23"/>
    </row>
    <row r="40" spans="2:6" x14ac:dyDescent="0.2">
      <c r="F40" s="23"/>
    </row>
    <row r="41" spans="2:6" x14ac:dyDescent="0.2">
      <c r="F41" s="23"/>
    </row>
    <row r="42" spans="2:6" x14ac:dyDescent="0.2">
      <c r="F42" s="23"/>
    </row>
    <row r="43" spans="2:6" x14ac:dyDescent="0.2">
      <c r="F43" s="23"/>
    </row>
    <row r="44" spans="2:6" x14ac:dyDescent="0.2">
      <c r="F44" s="23"/>
    </row>
    <row r="45" spans="2:6" x14ac:dyDescent="0.2">
      <c r="F45" s="23"/>
    </row>
    <row r="46" spans="2:6" x14ac:dyDescent="0.2">
      <c r="F46" s="23"/>
    </row>
    <row r="47" spans="2:6" x14ac:dyDescent="0.2">
      <c r="F47" s="23"/>
    </row>
    <row r="48" spans="2:6" x14ac:dyDescent="0.2">
      <c r="F48" s="23"/>
    </row>
    <row r="49" spans="6:6" x14ac:dyDescent="0.2">
      <c r="F49" s="23"/>
    </row>
    <row r="50" spans="6:6" x14ac:dyDescent="0.2">
      <c r="F50" s="23"/>
    </row>
    <row r="51" spans="6:6" x14ac:dyDescent="0.2">
      <c r="F51" s="23"/>
    </row>
    <row r="52" spans="6:6" x14ac:dyDescent="0.2">
      <c r="F52" s="23"/>
    </row>
    <row r="53" spans="6:6" x14ac:dyDescent="0.2">
      <c r="F53" s="23"/>
    </row>
    <row r="54" spans="6:6" x14ac:dyDescent="0.2">
      <c r="F54" s="23"/>
    </row>
    <row r="55" spans="6:6" x14ac:dyDescent="0.2">
      <c r="F55" s="23"/>
    </row>
    <row r="56" spans="6:6" x14ac:dyDescent="0.2">
      <c r="F56" s="23"/>
    </row>
    <row r="57" spans="6:6" x14ac:dyDescent="0.2">
      <c r="F57" s="23"/>
    </row>
    <row r="58" spans="6:6" x14ac:dyDescent="0.2">
      <c r="F58" s="23"/>
    </row>
    <row r="59" spans="6:6" x14ac:dyDescent="0.2">
      <c r="F59" s="23"/>
    </row>
    <row r="60" spans="6:6" x14ac:dyDescent="0.2">
      <c r="F60" s="23"/>
    </row>
    <row r="61" spans="6:6" x14ac:dyDescent="0.2">
      <c r="F61" s="23"/>
    </row>
    <row r="62" spans="6:6" x14ac:dyDescent="0.2">
      <c r="F62" s="23"/>
    </row>
    <row r="63" spans="6:6" x14ac:dyDescent="0.2">
      <c r="F63" s="23"/>
    </row>
    <row r="64" spans="6:6" x14ac:dyDescent="0.2">
      <c r="F64" s="23"/>
    </row>
  </sheetData>
  <mergeCells count="2">
    <mergeCell ref="A1:K1"/>
    <mergeCell ref="H17:K17"/>
  </mergeCells>
  <conditionalFormatting sqref="K19:K20">
    <cfRule type="colorScale" priority="5">
      <colorScale>
        <cfvo type="num" val="-5"/>
        <cfvo type="num" val="0"/>
        <cfvo type="num" val="5"/>
        <color rgb="FFFF7128"/>
        <color theme="0"/>
        <color theme="6"/>
      </colorScale>
    </cfRule>
  </conditionalFormatting>
  <conditionalFormatting sqref="K21">
    <cfRule type="colorScale" priority="2">
      <colorScale>
        <cfvo type="num" val="-5"/>
        <cfvo type="num" val="0"/>
        <cfvo type="num" val="5"/>
        <color rgb="FFFF7128"/>
        <color theme="0"/>
        <color theme="6"/>
      </colorScale>
    </cfRule>
  </conditionalFormatting>
  <conditionalFormatting sqref="K22:K23">
    <cfRule type="colorScale" priority="1">
      <colorScale>
        <cfvo type="num" val="-0.5"/>
        <cfvo type="num" val="0"/>
        <cfvo type="num" val="0.5"/>
        <color rgb="FFFF7128"/>
        <color theme="0"/>
        <color theme="6"/>
      </colorScale>
    </cfRule>
  </conditionalFormatting>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F8E33-C239-414D-BA7A-DC161A6CEFC2}">
  <dimension ref="A1:L41"/>
  <sheetViews>
    <sheetView tabSelected="1" workbookViewId="0">
      <selection activeCell="C22" sqref="C22"/>
    </sheetView>
  </sheetViews>
  <sheetFormatPr baseColWidth="10" defaultColWidth="8.83203125" defaultRowHeight="16" x14ac:dyDescent="0.2"/>
  <cols>
    <col min="1" max="1" width="13.83203125" style="17" bestFit="1" customWidth="1"/>
    <col min="2" max="2" width="15.5" style="17" bestFit="1" customWidth="1"/>
    <col min="3" max="3" width="14.6640625" style="17" bestFit="1" customWidth="1"/>
    <col min="4" max="4" width="15.6640625" style="17" bestFit="1" customWidth="1"/>
    <col min="5" max="5" width="9.1640625" style="17" bestFit="1" customWidth="1"/>
    <col min="6" max="6" width="5" style="17" bestFit="1" customWidth="1"/>
    <col min="7" max="7" width="18" style="17" customWidth="1"/>
    <col min="8" max="8" width="15.1640625" style="17" customWidth="1"/>
    <col min="9" max="9" width="18.5" style="17" customWidth="1"/>
    <col min="10" max="10" width="16" style="17" customWidth="1"/>
    <col min="11" max="16384" width="8.83203125" style="17"/>
  </cols>
  <sheetData>
    <row r="1" spans="1:12" ht="45.25" customHeight="1" x14ac:dyDescent="0.2">
      <c r="A1" s="38" t="s">
        <v>59</v>
      </c>
      <c r="B1" s="38"/>
      <c r="C1" s="38"/>
      <c r="D1" s="38"/>
      <c r="E1" s="38"/>
      <c r="F1" s="38"/>
      <c r="G1" s="38"/>
      <c r="H1" s="38"/>
      <c r="I1" s="38"/>
      <c r="J1" s="38"/>
      <c r="K1" s="38"/>
      <c r="L1" s="38"/>
    </row>
    <row r="2" spans="1:12" ht="32" customHeight="1" x14ac:dyDescent="0.2">
      <c r="A2" s="37"/>
      <c r="B2" s="37"/>
      <c r="C2" s="37"/>
      <c r="D2" s="37"/>
      <c r="E2" s="37"/>
      <c r="F2" s="37"/>
      <c r="G2" s="37"/>
      <c r="H2" s="37"/>
      <c r="I2" s="37"/>
      <c r="J2" s="37"/>
    </row>
    <row r="16" spans="1:12" x14ac:dyDescent="0.2">
      <c r="A16" s="8" t="s">
        <v>69</v>
      </c>
      <c r="B16" t="s">
        <v>209</v>
      </c>
    </row>
    <row r="17" spans="1:12" x14ac:dyDescent="0.2">
      <c r="G17" s="26"/>
      <c r="H17" s="27" t="s">
        <v>269</v>
      </c>
      <c r="I17" s="26"/>
      <c r="J17" s="26"/>
      <c r="K17" s="26"/>
      <c r="L17" s="26"/>
    </row>
    <row r="18" spans="1:12" x14ac:dyDescent="0.2">
      <c r="A18" s="25" t="s">
        <v>220</v>
      </c>
      <c r="B18" s="25" t="s">
        <v>223</v>
      </c>
      <c r="C18" s="25" t="s">
        <v>218</v>
      </c>
      <c r="D18" s="25" t="s">
        <v>222</v>
      </c>
      <c r="E18" s="25" t="s">
        <v>219</v>
      </c>
      <c r="F18" s="25" t="s">
        <v>271</v>
      </c>
      <c r="G18" s="26"/>
      <c r="H18" s="27" t="s">
        <v>223</v>
      </c>
      <c r="I18" s="27" t="s">
        <v>218</v>
      </c>
      <c r="J18" s="27" t="s">
        <v>222</v>
      </c>
      <c r="K18" s="27" t="s">
        <v>219</v>
      </c>
      <c r="L18" s="27" t="s">
        <v>270</v>
      </c>
    </row>
    <row r="19" spans="1:12" x14ac:dyDescent="0.2">
      <c r="A19" s="9" t="s">
        <v>75</v>
      </c>
      <c r="B19" s="33">
        <v>46218.249305555553</v>
      </c>
      <c r="C19" s="22">
        <v>0.8</v>
      </c>
      <c r="D19" s="22">
        <v>0.64826070746296571</v>
      </c>
      <c r="E19" s="10">
        <v>0.66666666666666663</v>
      </c>
      <c r="F19" s="4">
        <v>3.7333333333333334</v>
      </c>
      <c r="G19" s="28" t="str">
        <f>A19</f>
        <v>17313</v>
      </c>
      <c r="H19" s="29">
        <f>IF(G19&lt;&gt;0,GETPIVOTDATA("Time",$A$18,"execution_id",$G19),"")</f>
        <v>46218.249305555553</v>
      </c>
      <c r="I19" s="30">
        <f>IF(G19&lt;&gt;0,GETPIVOTDATA("Source Count Match",$A$18,"execution_id",$G19),"")</f>
        <v>0.8</v>
      </c>
      <c r="J19" s="31">
        <f>IF(G19&lt;&gt;0,GETPIVOTDATA("Source Names Match",$A$18,"execution_id",$G19),"")</f>
        <v>0.64826070746296571</v>
      </c>
      <c r="K19" s="31">
        <f>IF(G19&lt;&gt;0,GETPIVOTDATA("Faithfulness",$A$18,"execution_id",$G19),"")</f>
        <v>0.66666666666666663</v>
      </c>
      <c r="L19" s="31">
        <f>IF(G19&lt;&gt;0,GETPIVOTDATA("Score",$A$18,"execution_id",$G19),"")</f>
        <v>3.7333333333333334</v>
      </c>
    </row>
    <row r="20" spans="1:12" x14ac:dyDescent="0.2">
      <c r="A20" s="9" t="s">
        <v>120</v>
      </c>
      <c r="B20" s="33">
        <v>46220.59097222222</v>
      </c>
      <c r="C20" s="22">
        <v>0.8666666666666667</v>
      </c>
      <c r="D20" s="22">
        <v>0.63140814441039739</v>
      </c>
      <c r="E20" s="10">
        <v>0.8666666666666667</v>
      </c>
      <c r="F20" s="4">
        <v>3.8</v>
      </c>
      <c r="G20" s="28" t="str">
        <f t="shared" ref="G20:G28" si="0">A20</f>
        <v>17342</v>
      </c>
      <c r="H20" s="29">
        <f t="shared" ref="H20:H28" si="1">IF(G20&lt;&gt;0,GETPIVOTDATA("Time",$A$18,"execution_id",$G20),"")</f>
        <v>46220.59097222222</v>
      </c>
      <c r="I20" s="30">
        <f t="shared" ref="I20:I28" si="2">IF(G20&lt;&gt;0,GETPIVOTDATA("Source Count Match",$A$18,"execution_id",$G20),"")</f>
        <v>0.8666666666666667</v>
      </c>
      <c r="J20" s="31">
        <f t="shared" ref="J20:J28" si="3">IF(G20&lt;&gt;0,GETPIVOTDATA("Source Names Match",$A$18,"execution_id",$G20),"")</f>
        <v>0.63140814441039739</v>
      </c>
      <c r="K20" s="31">
        <f t="shared" ref="K20:K28" si="4">IF(G20&lt;&gt;0,GETPIVOTDATA("Faithfulness",$A$18,"execution_id",$G20),"")</f>
        <v>0.8666666666666667</v>
      </c>
      <c r="L20" s="31">
        <f t="shared" ref="L20:L28" si="5">IF(G20&lt;&gt;0,GETPIVOTDATA("Score",$A$18,"execution_id",$G20),"")</f>
        <v>3.8</v>
      </c>
    </row>
    <row r="21" spans="1:12" x14ac:dyDescent="0.2">
      <c r="A21" s="9" t="s">
        <v>167</v>
      </c>
      <c r="B21" s="33">
        <v>46220.634027777778</v>
      </c>
      <c r="C21" s="22">
        <v>0.93333333333333335</v>
      </c>
      <c r="D21" s="22">
        <v>0.69399175543127478</v>
      </c>
      <c r="E21" s="10">
        <v>0.8</v>
      </c>
      <c r="F21" s="4">
        <v>4.2666666666666666</v>
      </c>
      <c r="G21" s="28" t="str">
        <f t="shared" si="0"/>
        <v>17348</v>
      </c>
      <c r="H21" s="29">
        <f t="shared" si="1"/>
        <v>46220.634027777778</v>
      </c>
      <c r="I21" s="30">
        <f t="shared" si="2"/>
        <v>0.93333333333333335</v>
      </c>
      <c r="J21" s="31">
        <f t="shared" si="3"/>
        <v>0.69399175543127478</v>
      </c>
      <c r="K21" s="31">
        <f t="shared" si="4"/>
        <v>0.8</v>
      </c>
      <c r="L21" s="31">
        <f t="shared" si="5"/>
        <v>4.2666666666666666</v>
      </c>
    </row>
    <row r="22" spans="1:12" x14ac:dyDescent="0.2">
      <c r="A22" s="9" t="s">
        <v>227</v>
      </c>
      <c r="B22" s="33">
        <v>46220.672222222223</v>
      </c>
      <c r="C22" s="22">
        <v>0.46666666666666667</v>
      </c>
      <c r="D22" s="22">
        <v>0.3248269536908161</v>
      </c>
      <c r="E22" s="10">
        <v>0.66666666666666663</v>
      </c>
      <c r="F22" s="4">
        <v>2.3333333333333335</v>
      </c>
      <c r="G22" s="28" t="str">
        <f t="shared" si="0"/>
        <v>17355</v>
      </c>
      <c r="H22" s="29">
        <f t="shared" si="1"/>
        <v>46220.672222222223</v>
      </c>
      <c r="I22" s="30">
        <f t="shared" si="2"/>
        <v>0.46666666666666667</v>
      </c>
      <c r="J22" s="31">
        <f t="shared" si="3"/>
        <v>0.3248269536908161</v>
      </c>
      <c r="K22" s="31">
        <f t="shared" si="4"/>
        <v>0.66666666666666663</v>
      </c>
      <c r="L22" s="31">
        <f t="shared" si="5"/>
        <v>2.3333333333333335</v>
      </c>
    </row>
    <row r="23" spans="1:12" x14ac:dyDescent="0.2">
      <c r="A23"/>
      <c r="B23" s="33"/>
      <c r="C23"/>
      <c r="G23" s="28">
        <f t="shared" si="0"/>
        <v>0</v>
      </c>
      <c r="H23" s="29" t="str">
        <f t="shared" si="1"/>
        <v/>
      </c>
      <c r="I23" s="30" t="str">
        <f t="shared" si="2"/>
        <v/>
      </c>
      <c r="J23" s="31" t="str">
        <f t="shared" si="3"/>
        <v/>
      </c>
      <c r="K23" s="31" t="str">
        <f t="shared" si="4"/>
        <v/>
      </c>
      <c r="L23" s="31" t="str">
        <f t="shared" si="5"/>
        <v/>
      </c>
    </row>
    <row r="24" spans="1:12" x14ac:dyDescent="0.2">
      <c r="A24"/>
      <c r="B24" s="33"/>
      <c r="C24"/>
      <c r="G24" s="28">
        <f t="shared" si="0"/>
        <v>0</v>
      </c>
      <c r="H24" s="29" t="str">
        <f t="shared" si="1"/>
        <v/>
      </c>
      <c r="I24" s="30" t="str">
        <f t="shared" si="2"/>
        <v/>
      </c>
      <c r="J24" s="31" t="str">
        <f t="shared" si="3"/>
        <v/>
      </c>
      <c r="K24" s="31" t="str">
        <f t="shared" si="4"/>
        <v/>
      </c>
      <c r="L24" s="31" t="str">
        <f t="shared" si="5"/>
        <v/>
      </c>
    </row>
    <row r="25" spans="1:12" x14ac:dyDescent="0.2">
      <c r="A25"/>
      <c r="B25" s="33"/>
      <c r="C25"/>
      <c r="G25" s="28">
        <f t="shared" si="0"/>
        <v>0</v>
      </c>
      <c r="H25" s="29" t="str">
        <f t="shared" si="1"/>
        <v/>
      </c>
      <c r="I25" s="30" t="str">
        <f t="shared" si="2"/>
        <v/>
      </c>
      <c r="J25" s="31" t="str">
        <f t="shared" si="3"/>
        <v/>
      </c>
      <c r="K25" s="31" t="str">
        <f t="shared" si="4"/>
        <v/>
      </c>
      <c r="L25" s="31" t="str">
        <f t="shared" si="5"/>
        <v/>
      </c>
    </row>
    <row r="26" spans="1:12" x14ac:dyDescent="0.2">
      <c r="A26"/>
      <c r="B26" s="33"/>
      <c r="C26"/>
      <c r="G26" s="28">
        <f t="shared" si="0"/>
        <v>0</v>
      </c>
      <c r="H26" s="29" t="str">
        <f t="shared" si="1"/>
        <v/>
      </c>
      <c r="I26" s="30" t="str">
        <f t="shared" si="2"/>
        <v/>
      </c>
      <c r="J26" s="31" t="str">
        <f t="shared" si="3"/>
        <v/>
      </c>
      <c r="K26" s="31" t="str">
        <f t="shared" si="4"/>
        <v/>
      </c>
      <c r="L26" s="31" t="str">
        <f t="shared" si="5"/>
        <v/>
      </c>
    </row>
    <row r="27" spans="1:12" x14ac:dyDescent="0.2">
      <c r="A27"/>
      <c r="B27" s="33"/>
      <c r="C27"/>
      <c r="G27" s="28">
        <f t="shared" si="0"/>
        <v>0</v>
      </c>
      <c r="H27" s="29" t="str">
        <f t="shared" si="1"/>
        <v/>
      </c>
      <c r="I27" s="30" t="str">
        <f t="shared" si="2"/>
        <v/>
      </c>
      <c r="J27" s="31" t="str">
        <f t="shared" si="3"/>
        <v/>
      </c>
      <c r="K27" s="31" t="str">
        <f t="shared" si="4"/>
        <v/>
      </c>
      <c r="L27" s="31" t="str">
        <f t="shared" si="5"/>
        <v/>
      </c>
    </row>
    <row r="28" spans="1:12" x14ac:dyDescent="0.2">
      <c r="A28"/>
      <c r="B28" s="33"/>
      <c r="C28"/>
      <c r="G28" s="28">
        <f t="shared" si="0"/>
        <v>0</v>
      </c>
      <c r="H28" s="29" t="str">
        <f t="shared" si="1"/>
        <v/>
      </c>
      <c r="I28" s="30" t="str">
        <f t="shared" si="2"/>
        <v/>
      </c>
      <c r="J28" s="31" t="str">
        <f t="shared" si="3"/>
        <v/>
      </c>
      <c r="K28" s="31" t="str">
        <f t="shared" si="4"/>
        <v/>
      </c>
      <c r="L28" s="31" t="str">
        <f t="shared" si="5"/>
        <v/>
      </c>
    </row>
    <row r="29" spans="1:12" x14ac:dyDescent="0.2">
      <c r="A29"/>
      <c r="B29" s="33"/>
      <c r="C29"/>
    </row>
    <row r="30" spans="1:12" x14ac:dyDescent="0.2">
      <c r="A30"/>
      <c r="B30" s="33"/>
      <c r="C30"/>
    </row>
    <row r="31" spans="1:12" x14ac:dyDescent="0.2">
      <c r="A31"/>
      <c r="B31" s="33"/>
      <c r="C31"/>
    </row>
    <row r="32" spans="1:12" x14ac:dyDescent="0.2">
      <c r="A32"/>
      <c r="B32" s="33"/>
      <c r="C32"/>
    </row>
    <row r="33" spans="1:3" x14ac:dyDescent="0.2">
      <c r="A33"/>
      <c r="B33" s="33"/>
      <c r="C33"/>
    </row>
    <row r="34" spans="1:3" x14ac:dyDescent="0.2">
      <c r="A34"/>
      <c r="B34" s="33"/>
      <c r="C34"/>
    </row>
    <row r="35" spans="1:3" x14ac:dyDescent="0.2">
      <c r="A35"/>
      <c r="B35" s="33"/>
      <c r="C35"/>
    </row>
    <row r="36" spans="1:3" x14ac:dyDescent="0.2">
      <c r="B36" s="36"/>
    </row>
    <row r="37" spans="1:3" x14ac:dyDescent="0.2">
      <c r="B37" s="36"/>
    </row>
    <row r="38" spans="1:3" x14ac:dyDescent="0.2">
      <c r="B38" s="36"/>
    </row>
    <row r="39" spans="1:3" x14ac:dyDescent="0.2">
      <c r="B39" s="36"/>
    </row>
    <row r="40" spans="1:3" x14ac:dyDescent="0.2">
      <c r="B40" s="36"/>
    </row>
    <row r="41" spans="1:3" x14ac:dyDescent="0.2">
      <c r="B41" s="36"/>
    </row>
  </sheetData>
  <mergeCells count="2">
    <mergeCell ref="A2:J2"/>
    <mergeCell ref="A1:L1"/>
  </mergeCell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Run History</vt:lpstr>
      <vt:lpstr>Dashboard</vt:lpstr>
      <vt:lpstr>Runs Over Time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Linkedin User</cp:lastModifiedBy>
  <dcterms:created xsi:type="dcterms:W3CDTF">2026-06-27T19:18:54Z</dcterms:created>
  <dcterms:modified xsi:type="dcterms:W3CDTF">2026-07-17T20:18:40Z</dcterms:modified>
</cp:coreProperties>
</file>